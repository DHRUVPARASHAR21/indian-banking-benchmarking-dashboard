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0dfb52e7d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969194d4ff2c443c"/>
    <x:sheet xmlns:r="http://schemas.openxmlformats.org/officeDocument/2006/relationships" name="Bank Comparison" sheetId="2" r:id="Rb6e9ff52d2a94991"/>
    <x:sheet xmlns:r="http://schemas.openxmlformats.org/officeDocument/2006/relationships" name="Peer Benchmark" sheetId="3" r:id="R57b0ca6ede3d402d"/>
    <x:sheet xmlns:r="http://schemas.openxmlformats.org/officeDocument/2006/relationships" name="Opportunity Analysis" sheetId="4" r:id="R7f2cfffe30214fab"/>
    <x:sheet xmlns:r="http://schemas.openxmlformats.org/officeDocument/2006/relationships" name="Data &amp; Sources" sheetId="5" r:id="Rf7a5fe0425a6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0.0%"/>
    <x:numFmt numFmtId="203" formatCode="0"/>
    <x:numFmt numFmtId="204" formatCode="#,##0;(#,##0);-"/>
  </x:numFmts>
  <x:fonts count="10">
    <x:font>
      <x:sz val="11"/>
      <x:name val="Carlito"/>
    </x:font>
    <x:font>
      <x:sz val="10"/>
      <x:color rgb="FF172B4D"/>
      <x:name val="Arial"/>
    </x:font>
    <x:font>
      <x:b/>
      <x:sz val="16"/>
      <x:color rgb="FFFFFFFF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  <x:font>
      <x:sz val="9"/>
      <x:color rgb="FF0563C1"/>
      <x:name val="Arial"/>
    </x:font>
    <x:font>
      <x:i/>
      <x:sz val="10"/>
      <x:color rgb="FF5B6573"/>
      <x:name val="Arial"/>
    </x:font>
    <x:font>
      <x:b/>
      <x:sz val="10"/>
      <x:color rgb="FF16324F"/>
      <x:name val="Arial"/>
    </x:font>
    <x:font>
      <x:b/>
      <x:sz val="12"/>
      <x:color rgb="FF1E8A83"/>
      <x:name val="Arial"/>
    </x:font>
    <x:font>
      <x:sz val="11"/>
      <x:color rgb="FF172B4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BF7"/>
      </x:patternFill>
    </x:fill>
    <x:fill>
      <x:patternFill patternType="solid">
        <x:fgColor rgb="FF1F5E8C"/>
      </x:patternFill>
    </x:fill>
    <x:fill>
      <x:patternFill patternType="solid">
        <x:fgColor rgb="FFFFF2CC"/>
      </x:patternFill>
    </x:fill>
    <x:fill>
      <x:patternFill patternType="solid">
        <x:fgColor rgb="FF1E8A83"/>
      </x:patternFill>
    </x:fill>
    <x:fill>
      <x:patternFill patternType="solid">
        <x:fgColor rgb="FFF6F8FB"/>
      </x:patternFill>
    </x:fill>
  </x:fills>
  <x:borders count="2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1F5E8C"/>
      </x:left>
      <x:top style="thin">
        <x:color rgb="FF1F5E8C"/>
      </x:top>
    </x:border>
    <x:border>
      <x:right style="thin">
        <x:color rgb="FF1F5E8C"/>
      </x:right>
      <x:top style="thin">
        <x:color rgb="FF1F5E8C"/>
      </x:top>
    </x:border>
    <x:border>
      <x:left style="thin">
        <x:color rgb="FF1F5E8C"/>
      </x:left>
      <x:bottom style="thin">
        <x:color rgb="FF1F5E8C"/>
      </x:bottom>
    </x:border>
    <x:border>
      <x:right style="thin">
        <x:color rgb="FF1F5E8C"/>
      </x:right>
      <x:bottom style="thin">
        <x:color rgb="FF1F5E8C"/>
      </x:bottom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D9E2F3"/>
      </x:right>
      <x:top style="thin">
        <x:color rgb="FFD9E2F3"/>
      </x:top>
      <x:bottom style="thin">
        <x:color rgb="FFFFFFFF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C9A227"/>
      </x:left>
      <x:top style="thin">
        <x:color rgb="FFC9A227"/>
      </x:top>
      <x:bottom style="thin">
        <x:color rgb="FFC9A227"/>
      </x:bottom>
    </x:border>
    <x:border>
      <x:top style="thin">
        <x:color rgb="FFC9A227"/>
      </x:top>
      <x:bottom style="thin">
        <x:color rgb="FFC9A227"/>
      </x:bottom>
    </x:border>
    <x:border>
      <x:right style="thin">
        <x:color rgb="FFC9A227"/>
      </x:right>
      <x:top style="thin">
        <x:color rgb="FFC9A227"/>
      </x:top>
      <x:bottom style="thin">
        <x:color rgb="FFC9A22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3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7" fillId="3" borderId="3" xfId="0" applyNumberFormat="1" applyFont="1" applyFill="1" applyBorder="1" applyAlignment="1">
      <x:alignment horizontal="center"/>
    </x:xf>
    <x:xf numFmtId="0" fontId="7" fillId="3" borderId="4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7" fillId="3" borderId="3" xfId="0" applyNumberFormat="1" applyFont="1" applyFill="1" applyBorder="1" applyAlignment="1">
      <x:alignment horizontal="center" vertical="center"/>
    </x:xf>
    <x:xf numFmtId="0" fontId="7" fillId="3" borderId="4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8" fillId="3" borderId="4" xfId="0" applyNumberFormat="1" applyFont="1" applyFill="1" applyBorder="1" applyAlignment="1">
      <x:alignment horizontal="center" vertical="center"/>
    </x:xf>
    <x:xf numFmtId="0" fontId="8" fillId="3" borderId="5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202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2" fontId="1" fillId="0" borderId="13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1" fillId="0" borderId="10" xfId="0" applyNumberFormat="1" applyFont="1" applyFill="1" applyBorder="1"/>
    <x:xf numFmtId="202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/>
    <x:xf numFmtId="204" fontId="1" fillId="0" borderId="12" xfId="0" applyNumberFormat="1" applyFont="1" applyFill="1" applyBorder="1"/>
    <x:xf numFmtId="0" fontId="9" fillId="7" borderId="17" xfId="0" applyNumberFormat="1" applyFont="1" applyFill="1" applyBorder="1"/>
    <x:xf numFmtId="0" fontId="9" fillId="7" borderId="18" xfId="0" applyNumberFormat="1" applyFont="1" applyFill="1" applyBorder="1"/>
    <x:xf numFmtId="0" fontId="9" fillId="7" borderId="19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7" xfId="0" applyNumberFormat="1" applyFont="1" applyFill="1" applyBorder="1" applyAlignment="1">
      <x:alignment wrapText="1"/>
    </x:xf>
    <x:xf numFmtId="0" fontId="9" fillId="7" borderId="18" xfId="0" applyNumberFormat="1" applyFont="1" applyFill="1" applyBorder="1" applyAlignment="1">
      <x:alignment wrapText="1"/>
    </x:xf>
    <x:xf numFmtId="0" fontId="9" fillId="7" borderId="19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17" xfId="0" applyNumberFormat="1" applyFont="1" applyFill="1" applyBorder="1" applyAlignment="1">
      <x:alignment vertical="top" wrapText="1"/>
    </x:xf>
    <x:xf numFmtId="0" fontId="9" fillId="7" borderId="18" xfId="0" applyNumberFormat="1" applyFont="1" applyFill="1" applyBorder="1" applyAlignment="1">
      <x:alignment vertical="top" wrapText="1"/>
    </x:xf>
    <x:xf numFmtId="0" fontId="9" fillId="7" borderId="19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9" fillId="7" borderId="10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9" fillId="7" borderId="12" xfId="0" applyNumberFormat="1" applyFont="1" applyFill="1" applyBorder="1" applyAlignment="1">
      <x:alignment vertical="top" wrapText="1"/>
    </x:xf>
    <x:xf numFmtId="0" fontId="9" fillId="7" borderId="1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7" fillId="5" borderId="14" xfId="0" applyNumberFormat="1" applyFont="1" applyFill="1" applyBorder="1" applyAlignment="1">
      <x:alignment vertical="center"/>
    </x:xf>
    <x:xf numFmtId="0" fontId="7" fillId="5" borderId="15" xfId="0" applyNumberFormat="1" applyFont="1" applyFill="1" applyBorder="1" applyAlignment="1">
      <x:alignment vertical="center"/>
    </x:xf>
    <x:xf numFmtId="0" fontId="7" fillId="5" borderId="16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202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9" fillId="7" borderId="19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10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9" fillId="7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DE9E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DE9E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7b087691f4ebe" /><Relationship Type="http://schemas.openxmlformats.org/officeDocument/2006/relationships/theme" Target="/xl/theme/theme1.xml" Id="R90b036bb61a6418d" /><Relationship Type="http://schemas.openxmlformats.org/officeDocument/2006/relationships/sharedStrings" Target="/xl/sharedStrings.xml" Id="R9d3c5fec79f74a82" /><Relationship Type="http://schemas.openxmlformats.org/officeDocument/2006/relationships/worksheet" Target="/xl/worksheets/sheet1.xml" Id="R969194d4ff2c443c" /><Relationship Type="http://schemas.openxmlformats.org/officeDocument/2006/relationships/worksheet" Target="/xl/worksheets/sheet2.xml" Id="Rb6e9ff52d2a94991" /><Relationship Type="http://schemas.openxmlformats.org/officeDocument/2006/relationships/worksheet" Target="/xl/worksheets/sheet3.xml" Id="R57b0ca6ede3d402d" /><Relationship Type="http://schemas.openxmlformats.org/officeDocument/2006/relationships/worksheet" Target="/xl/worksheets/sheet4.xml" Id="R7f2cfffe30214fab" /><Relationship Type="http://schemas.openxmlformats.org/officeDocument/2006/relationships/worksheet" Target="/xl/worksheets/sheet5.xml" Id="Rf7a5fe0425a648f2" /></Relationships>
</file>

<file path=xl/tables/table1.xml><?xml version="1.0" encoding="utf-8"?>
<x:table xmlns:x="http://schemas.openxmlformats.org/spreadsheetml/2006/main" id="2" name="ComparisonTable" displayName="ComparisonTable" ref="A6:U16" headerRowCount="1" totalsRowCount="0" totalsRowShown="0">
  <x:tableColumns count="21">
    <x:tableColumn id="1" name="Rank"/>
    <x:tableColumn id="2" name="Bank"/>
    <x:tableColumn id="3" name="Ownership"/>
    <x:tableColumn id="4" name="ROA"/>
    <x:tableColumn id="5" name="ROE"/>
    <x:tableColumn id="6" name="NIM"/>
    <x:tableColumn id="7" name="Cost / income"/>
    <x:tableColumn id="8" name="CASA ratio"/>
    <x:tableColumn id="9" name="Credit cost"/>
    <x:tableColumn id="10" name="GNPA"/>
    <x:tableColumn id="11" name="NNPA"/>
    <x:tableColumn id="12" name="Loan growth"/>
    <x:tableColumn id="13" name="Deposit growth"/>
    <x:tableColumn id="14" name="CET1"/>
    <x:tableColumn id="15" name="CAR"/>
    <x:tableColumn id="16" name="ROA rank"/>
    <x:tableColumn id="17" name="ROE rank"/>
    <x:tableColumn id="18" name="NIM rank"/>
    <x:tableColumn id="19" name="C/I rank"/>
    <x:tableColumn id="20" name="GNPA rank"/>
    <x:tableColumn id="21" name="Loan growth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ourceData" displayName="SourceData" ref="A5:AC15" headerRowCount="1" totalsRowCount="0" totalsRowShown="0">
  <x:tableColumns count="29">
    <x:tableColumn id="1" name="Bank"/>
    <x:tableColumn id="2" name="Ownership"/>
    <x:tableColumn id="3" name="NII"/>
    <x:tableColumn id="4" name="Non-interest income"/>
    <x:tableColumn id="5" name="Operating income"/>
    <x:tableColumn id="6" name="Net profit"/>
    <x:tableColumn id="7" name="Assets FY25"/>
    <x:tableColumn id="8" name="Assets FY24"/>
    <x:tableColumn id="9" name="Advances FY25"/>
    <x:tableColumn id="10" name="Advances FY24"/>
    <x:tableColumn id="11" name="Deposits FY25"/>
    <x:tableColumn id="12" name="Deposits FY24"/>
    <x:tableColumn id="13" name="CASA FY25"/>
    <x:tableColumn id="14" name="CASA FY24"/>
    <x:tableColumn id="15" name="Equity FY25"/>
    <x:tableColumn id="16" name="Equity FY24"/>
    <x:tableColumn id="17" name="Investments FY25"/>
    <x:tableColumn id="18" name="Investments FY24"/>
    <x:tableColumn id="19" name="GNPA %"/>
    <x:tableColumn id="20" name="NNPA %"/>
    <x:tableColumn id="21" name="PCR %"/>
    <x:tableColumn id="22" name="Credit cost %"/>
    <x:tableColumn id="23" name="Operating expense"/>
    <x:tableColumn id="24" name="Employees"/>
    <x:tableColumn id="25" name="CET1 %"/>
    <x:tableColumn id="26" name="Tier 1 %"/>
    <x:tableColumn id="27" name="CAR %"/>
    <x:tableColumn id="28" name="Gross NPAs"/>
    <x:tableColumn id="29" name="Provis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fd412d7a7949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25f8eed0be947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1" hidden="0" customWidth="1"/>
    <x:col min="3" max="3" width="12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8" hidden="0" customWidth="1"/>
    <x:col min="9" max="9" width="21" hidden="0" customWidth="1"/>
    <x:col min="10" max="10" width="12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</x:cols>
  <x:sheetData>
    <x:row r="1" ht="30" customHeight="1">
      <x:c r="A1" s="5" t="str">
        <x:v>Indian Banking Benchmarking Dashboard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9" t="str">
        <x:v>FY2025 | 10 major banks | Profitability, efficiency, asset quality, capital and growth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32" t="str">
        <x:v>Peer set</x:v>
      </x:c>
      <x:c r="B5" s="33" t="str"/>
      <x:c r="C5" s="32" t="str">
        <x:v>Best ROA</x:v>
      </x:c>
      <x:c r="D5" s="33" t="str"/>
      <x:c r="E5" s="32" t="str">
        <x:v>Best NIM</x:v>
      </x:c>
      <x:c r="F5" s="33" t="str"/>
      <x:c r="G5" s="32" t="str">
        <x:v>Lowest GNPA</x:v>
      </x:c>
      <x:c r="H5" s="33" t="str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36" t="str">
        <x:v>10 banks</x:v>
      </x:c>
      <x:c r="B6" s="37" t="str"/>
      <x:c r="C6" s="36" t="str">
        <x:v>ICICI Bank</x:v>
      </x:c>
      <x:c r="D6" s="37" t="str"/>
      <x:c r="E6" s="36" t="str">
        <x:v>IDFC FIRST</x:v>
      </x:c>
      <x:c r="F6" s="37" t="str"/>
      <x:c r="G6" s="36" t="str">
        <x:v>Axis Bank</x:v>
      </x:c>
      <x:c r="H6" s="37" t="str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88"/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0" t="str">
        <x:v>ROA ranking</x:v>
      </x:c>
      <x:c r="B8" s="90"/>
      <x:c r="C8" s="90"/>
      <x:c r="D8" s="90"/>
      <x:c r="E8" s="90"/>
      <x:c r="F8" s="90"/>
      <x:c r="G8" s="88"/>
      <x:c r="H8" s="90" t="str">
        <x:v>ROE ranking</x:v>
      </x:c>
      <x:c r="I8" s="90"/>
      <x:c r="J8" s="90"/>
      <x:c r="K8" s="90"/>
      <x:c r="L8" s="90"/>
      <x:c r="M8" s="90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1" t="str">
        <x:v>Higher is better</x:v>
      </x:c>
      <x:c r="B9" s="88"/>
      <x:c r="C9" s="88"/>
      <x:c r="D9" s="88"/>
      <x:c r="E9" s="88"/>
      <x:c r="F9" s="88"/>
      <x:c r="G9" s="88"/>
      <x:c r="H9" s="91" t="str">
        <x:v>Higher is better</x:v>
      </x:c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40" t="str">
        <x:v>Rank</x:v>
      </x:c>
      <x:c r="B10" s="41" t="str">
        <x:v>Bank</x:v>
      </x:c>
      <x:c r="C10" s="42" t="str">
        <x:v>Value</x:v>
      </x:c>
      <x:c r="D10" s="88"/>
      <x:c r="E10" s="88"/>
      <x:c r="F10" s="88"/>
      <x:c r="G10" s="88"/>
      <x:c r="H10" s="40" t="str">
        <x:v>Rank</x:v>
      </x:c>
      <x:c r="I10" s="41" t="str">
        <x:v>Bank</x:v>
      </x:c>
      <x:c r="J10" s="42" t="str">
        <x:v>Value</x:v>
      </x:c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92" t="n">
        <x:v>1</x:v>
      </x:c>
      <x:c r="B11" s="88" t="str">
        <x:f>INDEX('Bank Comparison'!$B$7:$B$16,MATCH(1,'Bank Comparison'!$P$7:$P$16,0))</x:f>
        <x:v>ICICI Bank</x:v>
      </x:c>
      <x:c r="C11" s="93" t="n">
        <x:f>INDEX('Bank Comparison'!$D$7:$D$16,MATCH(1,'Bank Comparison'!$P$7:$P$16,0))</x:f>
        <x:v>0.0245526384195477</x:v>
      </x:c>
      <x:c r="D11" s="88"/>
      <x:c r="E11" s="88"/>
      <x:c r="F11" s="88"/>
      <x:c r="G11" s="88"/>
      <x:c r="H11" s="92" t="n">
        <x:v>1</x:v>
      </x:c>
      <x:c r="I11" s="88" t="str">
        <x:f>INDEX('Bank Comparison'!$B$7:$B$16,MATCH(1,'Bank Comparison'!$Q$7:$Q$16,0))</x:f>
        <x:v>State Bank of India</x:v>
      </x:c>
      <x:c r="J11" s="93" t="n">
        <x:f>INDEX('Bank Comparison'!$E$7:$E$16,MATCH(1,'Bank Comparison'!$Q$7:$Q$16,0))</x:f>
        <x:v>0.21038872403560832</x:v>
      </x:c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92" t="n">
        <x:v>2</x:v>
      </x:c>
      <x:c r="B12" s="88" t="str">
        <x:f>INDEX('Bank Comparison'!$B$7:$B$16,MATCH(2,'Bank Comparison'!$P$7:$P$16,0))</x:f>
        <x:v>Axis Bank</x:v>
      </x:c>
      <x:c r="C12" s="93" t="n">
        <x:f>INDEX('Bank Comparison'!$D$7:$D$16,MATCH(2,'Bank Comparison'!$P$7:$P$16,0))</x:f>
        <x:v>0.018158576051779934</x:v>
      </x:c>
      <x:c r="D12" s="88"/>
      <x:c r="E12" s="88"/>
      <x:c r="F12" s="88"/>
      <x:c r="G12" s="88"/>
      <x:c r="H12" s="92" t="n">
        <x:v>2</x:v>
      </x:c>
      <x:c r="I12" s="88" t="str">
        <x:f>INDEX('Bank Comparison'!$B$7:$B$16,MATCH(2,'Bank Comparison'!$Q$7:$Q$16,0))</x:f>
        <x:v>ICICI Bank</x:v>
      </x:c>
      <x:c r="J12" s="93" t="n">
        <x:f>INDEX('Bank Comparison'!$E$7:$E$16,MATCH(2,'Bank Comparison'!$Q$7:$Q$16,0))</x:f>
        <x:v>0.19043145161290323</x:v>
      </x:c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92" t="n">
        <x:v>3</x:v>
      </x:c>
      <x:c r="B13" s="88" t="str">
        <x:f>INDEX('Bank Comparison'!$B$7:$B$16,MATCH(3,'Bank Comparison'!$P$7:$P$16,0))</x:f>
        <x:v>HDFC Bank</x:v>
      </x:c>
      <x:c r="C13" s="93" t="n">
        <x:f>INDEX('Bank Comparison'!$D$7:$D$16,MATCH(3,'Bank Comparison'!$P$7:$P$16,0))</x:f>
        <x:v>0.017643961226093793</x:v>
      </x:c>
      <x:c r="D13" s="88"/>
      <x:c r="E13" s="88"/>
      <x:c r="F13" s="88"/>
      <x:c r="G13" s="88"/>
      <x:c r="H13" s="92" t="n">
        <x:v>3</x:v>
      </x:c>
      <x:c r="I13" s="88" t="str">
        <x:f>INDEX('Bank Comparison'!$B$7:$B$16,MATCH(3,'Bank Comparison'!$Q$7:$Q$16,0))</x:f>
        <x:v>HDFC Bank</x:v>
      </x:c>
      <x:c r="J13" s="93" t="n">
        <x:f>INDEX('Bank Comparison'!$E$7:$E$16,MATCH(3,'Bank Comparison'!$Q$7:$Q$16,0))</x:f>
        <x:v>0.18177327935222673</x:v>
      </x:c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92" t="n">
        <x:v>4</x:v>
      </x:c>
      <x:c r="B14" s="88" t="str">
        <x:f>INDEX('Bank Comparison'!$B$7:$B$16,MATCH(4,'Bank Comparison'!$P$7:$P$16,0))</x:f>
        <x:v>Federal Bank</x:v>
      </x:c>
      <x:c r="C14" s="93" t="n">
        <x:f>INDEX('Bank Comparison'!$D$7:$D$16,MATCH(4,'Bank Comparison'!$P$7:$P$16,0))</x:f>
        <x:v>0.014592720970537262</x:v>
      </x:c>
      <x:c r="D14" s="88"/>
      <x:c r="E14" s="88"/>
      <x:c r="F14" s="88"/>
      <x:c r="G14" s="88"/>
      <x:c r="H14" s="92" t="n">
        <x:v>4</x:v>
      </x:c>
      <x:c r="I14" s="88" t="str">
        <x:f>INDEX('Bank Comparison'!$B$7:$B$16,MATCH(4,'Bank Comparison'!$Q$7:$Q$16,0))</x:f>
        <x:v>Punjab National Bank</x:v>
      </x:c>
      <x:c r="J14" s="93" t="n">
        <x:f>INDEX('Bank Comparison'!$E$7:$E$16,MATCH(4,'Bank Comparison'!$Q$7:$Q$16,0))</x:f>
        <x:v>0.17391304347826086</x:v>
      </x:c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92" t="n">
        <x:v>5</x:v>
      </x:c>
      <x:c r="B15" s="88" t="str">
        <x:f>INDEX('Bank Comparison'!$B$7:$B$16,MATCH(5,'Bank Comparison'!$P$7:$P$16,0))</x:f>
        <x:v>State Bank of India</x:v>
      </x:c>
      <x:c r="C15" s="93" t="n">
        <x:f>INDEX('Bank Comparison'!$D$7:$D$16,MATCH(5,'Bank Comparison'!$P$7:$P$16,0))</x:f>
        <x:v>0.011095618153364632</x:v>
      </x:c>
      <x:c r="D15" s="88"/>
      <x:c r="E15" s="88"/>
      <x:c r="F15" s="88"/>
      <x:c r="G15" s="88"/>
      <x:c r="H15" s="92" t="n">
        <x:v>5</x:v>
      </x:c>
      <x:c r="I15" s="88" t="str">
        <x:f>INDEX('Bank Comparison'!$B$7:$B$16,MATCH(5,'Bank Comparison'!$Q$7:$Q$16,0))</x:f>
        <x:v>Bank of Baroda</x:v>
      </x:c>
      <x:c r="J15" s="93" t="n">
        <x:f>INDEX('Bank Comparison'!$E$7:$E$16,MATCH(5,'Bank Comparison'!$Q$7:$Q$16,0))</x:f>
        <x:v>0.16880172413793104</x:v>
      </x:c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92" t="n">
        <x:v>6</x:v>
      </x:c>
      <x:c r="B16" s="88" t="str">
        <x:f>INDEX('Bank Comparison'!$B$7:$B$16,MATCH(6,'Bank Comparison'!$P$7:$P$16,0))</x:f>
        <x:v>Bank of Baroda</x:v>
      </x:c>
      <x:c r="C16" s="93" t="n">
        <x:f>INDEX('Bank Comparison'!$D$7:$D$16,MATCH(6,'Bank Comparison'!$P$7:$P$16,0))</x:f>
        <x:v>0.011000561797752809</x:v>
      </x:c>
      <x:c r="D16" s="88"/>
      <x:c r="E16" s="88"/>
      <x:c r="F16" s="88"/>
      <x:c r="G16" s="88"/>
      <x:c r="H16" s="92" t="n">
        <x:v>6</x:v>
      </x:c>
      <x:c r="I16" s="88" t="str">
        <x:f>INDEX('Bank Comparison'!$B$7:$B$16,MATCH(6,'Bank Comparison'!$Q$7:$Q$16,0))</x:f>
        <x:v>Federal Bank</x:v>
      </x:c>
      <x:c r="J16" s="93" t="n">
        <x:f>INDEX('Bank Comparison'!$E$7:$E$16,MATCH(6,'Bank Comparison'!$Q$7:$Q$16,0))</x:f>
        <x:v>0.16509803921568628</x:v>
      </x:c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92" t="n">
        <x:v>7</x:v>
      </x:c>
      <x:c r="B17" s="88" t="str">
        <x:f>INDEX('Bank Comparison'!$B$7:$B$16,MATCH(7,'Bank Comparison'!$P$7:$P$16,0))</x:f>
        <x:v>Punjab National Bank</x:v>
      </x:c>
      <x:c r="C17" s="93" t="n">
        <x:f>INDEX('Bank Comparison'!$D$7:$D$16,MATCH(7,'Bank Comparison'!$P$7:$P$16,0))</x:f>
        <x:v>0.009329446064139942</x:v>
      </x:c>
      <x:c r="D17" s="88"/>
      <x:c r="E17" s="88"/>
      <x:c r="F17" s="88"/>
      <x:c r="G17" s="88"/>
      <x:c r="H17" s="92" t="n">
        <x:v>7</x:v>
      </x:c>
      <x:c r="I17" s="88" t="str">
        <x:f>INDEX('Bank Comparison'!$B$7:$B$16,MATCH(7,'Bank Comparison'!$Q$7:$Q$16,0))</x:f>
        <x:v>Axis Bank</x:v>
      </x:c>
      <x:c r="J17" s="93" t="n">
        <x:f>INDEX('Bank Comparison'!$E$7:$E$16,MATCH(7,'Bank Comparison'!$Q$7:$Q$16,0))</x:f>
        <x:v>0.1640643274853801</x:v>
      </x:c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92" t="n">
        <x:v>8</x:v>
      </x:c>
      <x:c r="B18" s="88" t="str">
        <x:f>INDEX('Bank Comparison'!$B$7:$B$16,MATCH(8,'Bank Comparison'!$P$7:$P$16,0))</x:f>
        <x:v>Kotak Mahindra Bank</x:v>
      </x:c>
      <x:c r="C18" s="93" t="n">
        <x:f>INDEX('Bank Comparison'!$D$7:$D$16,MATCH(8,'Bank Comparison'!$P$7:$P$16,0))</x:f>
        <x:v>0.007268518518518519</x:v>
      </x:c>
      <x:c r="D18" s="88"/>
      <x:c r="E18" s="88"/>
      <x:c r="F18" s="88"/>
      <x:c r="G18" s="88"/>
      <x:c r="H18" s="92" t="n">
        <x:v>8</x:v>
      </x:c>
      <x:c r="I18" s="88" t="str">
        <x:f>INDEX('Bank Comparison'!$B$7:$B$16,MATCH(8,'Bank Comparison'!$Q$7:$Q$16,0))</x:f>
        <x:v>IndusInd Bank</x:v>
      </x:c>
      <x:c r="J18" s="93" t="n">
        <x:f>INDEX('Bank Comparison'!$E$7:$E$16,MATCH(8,'Bank Comparison'!$Q$7:$Q$16,0))</x:f>
        <x:v>0.048926829268292685</x:v>
      </x:c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92" t="n">
        <x:v>9</x:v>
      </x:c>
      <x:c r="B19" s="88" t="str">
        <x:f>INDEX('Bank Comparison'!$B$7:$B$16,MATCH(9,'Bank Comparison'!$P$7:$P$16,0))</x:f>
        <x:v>IndusInd Bank</x:v>
      </x:c>
      <x:c r="C19" s="93" t="n">
        <x:f>INDEX('Bank Comparison'!$D$7:$D$16,MATCH(9,'Bank Comparison'!$P$7:$P$16,0))</x:f>
        <x:v>0.005278947368421052</x:v>
      </x:c>
      <x:c r="D19" s="88"/>
      <x:c r="E19" s="88"/>
      <x:c r="F19" s="88"/>
      <x:c r="G19" s="88"/>
      <x:c r="H19" s="92" t="n">
        <x:v>9</x:v>
      </x:c>
      <x:c r="I19" s="88" t="str">
        <x:f>INDEX('Bank Comparison'!$B$7:$B$16,MATCH(9,'Bank Comparison'!$Q$7:$Q$16,0))</x:f>
        <x:v>IDFC FIRST Bank</x:v>
      </x:c>
      <x:c r="J19" s="93" t="n">
        <x:f>INDEX('Bank Comparison'!$E$7:$E$16,MATCH(9,'Bank Comparison'!$Q$7:$Q$16,0))</x:f>
        <x:v>0.03822485207100592</x:v>
      </x:c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94" t="n">
        <x:v>10</x:v>
      </x:c>
      <x:c r="B20" s="95" t="str">
        <x:f>INDEX('Bank Comparison'!$B$7:$B$16,MATCH(10,'Bank Comparison'!$P$7:$P$16,0))</x:f>
        <x:v>IDFC FIRST Bank</x:v>
      </x:c>
      <x:c r="C20" s="96" t="n">
        <x:f>INDEX('Bank Comparison'!$D$7:$D$16,MATCH(10,'Bank Comparison'!$P$7:$P$16,0))</x:f>
        <x:v>0.003443496801705757</x:v>
      </x:c>
      <x:c r="D20" s="88"/>
      <x:c r="E20" s="88"/>
      <x:c r="F20" s="88"/>
      <x:c r="G20" s="88"/>
      <x:c r="H20" s="94" t="n">
        <x:v>10</x:v>
      </x:c>
      <x:c r="I20" s="95" t="str">
        <x:f>INDEX('Bank Comparison'!$B$7:$B$16,MATCH(10,'Bank Comparison'!$Q$7:$Q$16,0))</x:f>
        <x:v>Kotak Mahindra Bank</x:v>
      </x:c>
      <x:c r="J20" s="96" t="n">
        <x:f>INDEX('Bank Comparison'!$E$7:$E$16,MATCH(10,'Bank Comparison'!$Q$7:$Q$16,0))</x:f>
        <x:v>0.03768</x:v>
      </x:c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90" t="str">
        <x:v>NIM ranking</x:v>
      </x:c>
      <x:c r="B22" s="90"/>
      <x:c r="C22" s="90"/>
      <x:c r="D22" s="90"/>
      <x:c r="E22" s="90"/>
      <x:c r="F22" s="90"/>
      <x:c r="G22" s="88"/>
      <x:c r="H22" s="90" t="str">
        <x:v>Cost / income ranking</x:v>
      </x:c>
      <x:c r="I22" s="90"/>
      <x:c r="J22" s="90"/>
      <x:c r="K22" s="90"/>
      <x:c r="L22" s="90"/>
      <x:c r="M22" s="90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91" t="str">
        <x:v>Higher is better</x:v>
      </x:c>
      <x:c r="B23" s="88"/>
      <x:c r="C23" s="88"/>
      <x:c r="D23" s="88"/>
      <x:c r="E23" s="88"/>
      <x:c r="F23" s="88"/>
      <x:c r="G23" s="88"/>
      <x:c r="H23" s="91" t="str">
        <x:v>Lower is better</x:v>
      </x:c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40" t="str">
        <x:v>Rank</x:v>
      </x:c>
      <x:c r="B24" s="41" t="str">
        <x:v>Bank</x:v>
      </x:c>
      <x:c r="C24" s="42" t="str">
        <x:v>Value</x:v>
      </x:c>
      <x:c r="D24" s="88"/>
      <x:c r="E24" s="88"/>
      <x:c r="F24" s="88"/>
      <x:c r="G24" s="88"/>
      <x:c r="H24" s="40" t="str">
        <x:v>Rank</x:v>
      </x:c>
      <x:c r="I24" s="41" t="str">
        <x:v>Bank</x:v>
      </x:c>
      <x:c r="J24" s="42" t="str">
        <x:v>Value</x:v>
      </x:c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92" t="n">
        <x:v>1</x:v>
      </x:c>
      <x:c r="B25" s="88" t="str">
        <x:f>INDEX('Bank Comparison'!$B$7:$B$16,MATCH(1,'Bank Comparison'!$R$7:$R$16,0))</x:f>
        <x:v>ICICI Bank</x:v>
      </x:c>
      <x:c r="C25" s="93" t="n">
        <x:f>INDEX('Bank Comparison'!$F$7:$F$16,MATCH(1,'Bank Comparison'!$R$7:$R$16,0))</x:f>
        <x:v>0.04887829139847864</x:v>
      </x:c>
      <x:c r="D25" s="88"/>
      <x:c r="E25" s="88"/>
      <x:c r="F25" s="88"/>
      <x:c r="G25" s="88"/>
      <x:c r="H25" s="92" t="n">
        <x:v>1</x:v>
      </x:c>
      <x:c r="I25" s="88" t="str">
        <x:f>INDEX('Bank Comparison'!$B$7:$B$16,MATCH(1,'Bank Comparison'!$S$7:$S$16,0))</x:f>
        <x:v>HDFC Bank</x:v>
      </x:c>
      <x:c r="J25" s="93" t="n">
        <x:f>INDEX('Bank Comparison'!$G$7:$G$16,MATCH(1,'Bank Comparison'!$S$7:$S$16,0))</x:f>
        <x:v>0.3190201896782452</x:v>
      </x:c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92" t="n">
        <x:v>2</x:v>
      </x:c>
      <x:c r="B26" s="88" t="str">
        <x:f>INDEX('Bank Comparison'!$B$7:$B$16,MATCH(2,'Bank Comparison'!$R$7:$R$16,0))</x:f>
        <x:v>Kotak Mahindra Bank</x:v>
      </x:c>
      <x:c r="C26" s="93" t="n">
        <x:f>INDEX('Bank Comparison'!$F$7:$F$16,MATCH(2,'Bank Comparison'!$R$7:$R$16,0))</x:f>
        <x:v>0.04875536480686695</x:v>
      </x:c>
      <x:c r="D26" s="88"/>
      <x:c r="E26" s="88"/>
      <x:c r="F26" s="88"/>
      <x:c r="G26" s="88"/>
      <x:c r="H26" s="92" t="n">
        <x:v>2</x:v>
      </x:c>
      <x:c r="I26" s="88" t="str">
        <x:f>INDEX('Bank Comparison'!$B$7:$B$16,MATCH(2,'Bank Comparison'!$S$7:$S$16,0))</x:f>
        <x:v>ICICI Bank</x:v>
      </x:c>
      <x:c r="J26" s="93" t="n">
        <x:f>INDEX('Bank Comparison'!$G$7:$G$16,MATCH(2,'Bank Comparison'!$S$7:$S$16,0))</x:f>
        <x:v>0.33272295804833185</x:v>
      </x:c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92" t="n">
        <x:v>3</x:v>
      </x:c>
      <x:c r="B27" s="88" t="str">
        <x:f>INDEX('Bank Comparison'!$B$7:$B$16,MATCH(3,'Bank Comparison'!$R$7:$R$16,0))</x:f>
        <x:v>IndusInd Bank</x:v>
      </x:c>
      <x:c r="C27" s="93" t="n">
        <x:f>INDEX('Bank Comparison'!$F$7:$F$16,MATCH(3,'Bank Comparison'!$R$7:$R$16,0))</x:f>
        <x:v>0.0433710174717369</x:v>
      </x:c>
      <x:c r="D27" s="88"/>
      <x:c r="E27" s="88"/>
      <x:c r="F27" s="88"/>
      <x:c r="G27" s="88"/>
      <x:c r="H27" s="92" t="n">
        <x:v>3</x:v>
      </x:c>
      <x:c r="I27" s="88" t="str">
        <x:f>INDEX('Bank Comparison'!$B$7:$B$16,MATCH(3,'Bank Comparison'!$S$7:$S$16,0))</x:f>
        <x:v>State Bank of India</x:v>
      </x:c>
      <x:c r="J27" s="93" t="n">
        <x:f>INDEX('Bank Comparison'!$G$7:$G$16,MATCH(3,'Bank Comparison'!$S$7:$S$16,0))</x:f>
        <x:v>0.35726365635041435</x:v>
      </x:c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92" t="n">
        <x:v>4</x:v>
      </x:c>
      <x:c r="B28" s="88" t="str">
        <x:f>INDEX('Bank Comparison'!$B$7:$B$16,MATCH(4,'Bank Comparison'!$R$7:$R$16,0))</x:f>
        <x:v>IDFC FIRST Bank</x:v>
      </x:c>
      <x:c r="C28" s="93" t="n">
        <x:f>INDEX('Bank Comparison'!$F$7:$F$16,MATCH(4,'Bank Comparison'!$R$7:$R$16,0))</x:f>
        <x:v>0.04048257372654156</x:v>
      </x:c>
      <x:c r="D28" s="88"/>
      <x:c r="E28" s="88"/>
      <x:c r="F28" s="88"/>
      <x:c r="G28" s="88"/>
      <x:c r="H28" s="92" t="n">
        <x:v>4</x:v>
      </x:c>
      <x:c r="I28" s="88" t="str">
        <x:f>INDEX('Bank Comparison'!$B$7:$B$16,MATCH(4,'Bank Comparison'!$S$7:$S$16,0))</x:f>
        <x:v>Axis Bank</x:v>
      </x:c>
      <x:c r="J28" s="93" t="n">
        <x:f>INDEX('Bank Comparison'!$G$7:$G$16,MATCH(4,'Bank Comparison'!$S$7:$S$16,0))</x:f>
        <x:v>0.3978494623655914</x:v>
      </x:c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92" t="n">
        <x:v>5</x:v>
      </x:c>
      <x:c r="B29" s="88" t="str">
        <x:f>INDEX('Bank Comparison'!$B$7:$B$16,MATCH(5,'Bank Comparison'!$R$7:$R$16,0))</x:f>
        <x:v>Axis Bank</x:v>
      </x:c>
      <x:c r="C29" s="93" t="n">
        <x:f>INDEX('Bank Comparison'!$F$7:$F$16,MATCH(5,'Bank Comparison'!$R$7:$R$16,0))</x:f>
        <x:v>0.03717472118959108</x:v>
      </x:c>
      <x:c r="D29" s="88"/>
      <x:c r="E29" s="88"/>
      <x:c r="F29" s="88"/>
      <x:c r="G29" s="88"/>
      <x:c r="H29" s="92" t="n">
        <x:v>5</x:v>
      </x:c>
      <x:c r="I29" s="88" t="str">
        <x:f>INDEX('Bank Comparison'!$B$7:$B$16,MATCH(5,'Bank Comparison'!$S$7:$S$16,0))</x:f>
        <x:v>Kotak Mahindra Bank</x:v>
      </x:c>
      <x:c r="J29" s="93" t="n">
        <x:f>INDEX('Bank Comparison'!$G$7:$G$16,MATCH(5,'Bank Comparison'!$S$7:$S$16,0))</x:f>
        <x:v>0.44017094017094016</x:v>
      </x:c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92" t="n">
        <x:v>6</x:v>
      </x:c>
      <x:c r="B30" s="88" t="str">
        <x:f>INDEX('Bank Comparison'!$B$7:$B$16,MATCH(6,'Bank Comparison'!$R$7:$R$16,0))</x:f>
        <x:v>HDFC Bank</x:v>
      </x:c>
      <x:c r="C30" s="93" t="n">
        <x:f>INDEX('Bank Comparison'!$F$7:$F$16,MATCH(6,'Bank Comparison'!$R$7:$R$16,0))</x:f>
        <x:v>0.0360926811327694</x:v>
      </x:c>
      <x:c r="D30" s="88"/>
      <x:c r="E30" s="88"/>
      <x:c r="F30" s="88"/>
      <x:c r="G30" s="88"/>
      <x:c r="H30" s="92" t="n">
        <x:v>6</x:v>
      </x:c>
      <x:c r="I30" s="88" t="str">
        <x:f>INDEX('Bank Comparison'!$B$7:$B$16,MATCH(6,'Bank Comparison'!$S$7:$S$16,0))</x:f>
        <x:v>Bank of Baroda</x:v>
      </x:c>
      <x:c r="J30" s="93" t="n">
        <x:f>INDEX('Bank Comparison'!$G$7:$G$16,MATCH(6,'Bank Comparison'!$S$7:$S$16,0))</x:f>
        <x:v>0.47313432835820896</x:v>
      </x:c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92" t="n">
        <x:v>7</x:v>
      </x:c>
      <x:c r="B31" s="88" t="str">
        <x:f>INDEX('Bank Comparison'!$B$7:$B$16,MATCH(7,'Bank Comparison'!$R$7:$R$16,0))</x:f>
        <x:v>Federal Bank</x:v>
      </x:c>
      <x:c r="C31" s="93" t="n">
        <x:f>INDEX('Bank Comparison'!$F$7:$F$16,MATCH(7,'Bank Comparison'!$R$7:$R$16,0))</x:f>
        <x:v>0.0316622691292876</x:v>
      </x:c>
      <x:c r="D31" s="88"/>
      <x:c r="E31" s="88"/>
      <x:c r="F31" s="88"/>
      <x:c r="G31" s="88"/>
      <x:c r="H31" s="92" t="n">
        <x:v>7</x:v>
      </x:c>
      <x:c r="I31" s="88" t="str">
        <x:f>INDEX('Bank Comparison'!$B$7:$B$16,MATCH(7,'Bank Comparison'!$S$7:$S$16,0))</x:f>
        <x:v>Punjab National Bank</x:v>
      </x:c>
      <x:c r="J31" s="93" t="n">
        <x:f>INDEX('Bank Comparison'!$G$7:$G$16,MATCH(7,'Bank Comparison'!$S$7:$S$16,0))</x:f>
        <x:v>0.49</x:v>
      </x:c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92" t="n">
        <x:v>8</x:v>
      </x:c>
      <x:c r="B32" s="88" t="str">
        <x:f>INDEX('Bank Comparison'!$B$7:$B$16,MATCH(8,'Bank Comparison'!$R$7:$R$16,0))</x:f>
        <x:v>State Bank of India</x:v>
      </x:c>
      <x:c r="C32" s="93" t="n">
        <x:f>INDEX('Bank Comparison'!$F$7:$F$16,MATCH(8,'Bank Comparison'!$R$7:$R$16,0))</x:f>
        <x:v>0.030134328358208954</x:v>
      </x:c>
      <x:c r="D32" s="88"/>
      <x:c r="E32" s="88"/>
      <x:c r="F32" s="88"/>
      <x:c r="G32" s="88"/>
      <x:c r="H32" s="92" t="n">
        <x:v>8</x:v>
      </x:c>
      <x:c r="I32" s="88" t="str">
        <x:f>INDEX('Bank Comparison'!$B$7:$B$16,MATCH(8,'Bank Comparison'!$S$7:$S$16,0))</x:f>
        <x:v>Federal Bank</x:v>
      </x:c>
      <x:c r="J32" s="93" t="n">
        <x:f>INDEX('Bank Comparison'!$G$7:$G$16,MATCH(8,'Bank Comparison'!$S$7:$S$16,0))</x:f>
        <x:v>0.6474820143884892</x:v>
      </x:c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92" t="n">
        <x:v>9</x:v>
      </x:c>
      <x:c r="B33" s="88" t="str">
        <x:f>INDEX('Bank Comparison'!$B$7:$B$16,MATCH(9,'Bank Comparison'!$R$7:$R$16,0))</x:f>
        <x:v>Bank of Baroda</x:v>
      </x:c>
      <x:c r="C33" s="93" t="n">
        <x:f>INDEX('Bank Comparison'!$F$7:$F$16,MATCH(9,'Bank Comparison'!$R$7:$R$16,0))</x:f>
        <x:v>0.028669367404175757</x:v>
      </x:c>
      <x:c r="D33" s="88"/>
      <x:c r="E33" s="88"/>
      <x:c r="F33" s="88"/>
      <x:c r="G33" s="88"/>
      <x:c r="H33" s="92" t="n">
        <x:v>9</x:v>
      </x:c>
      <x:c r="I33" s="88" t="str">
        <x:f>INDEX('Bank Comparison'!$B$7:$B$16,MATCH(9,'Bank Comparison'!$S$7:$S$16,0))</x:f>
        <x:v>IndusInd Bank</x:v>
      </x:c>
      <x:c r="J33" s="93" t="n">
        <x:f>INDEX('Bank Comparison'!$G$7:$G$16,MATCH(9,'Bank Comparison'!$S$7:$S$16,0))</x:f>
        <x:v>0.7088607594936709</x:v>
      </x:c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94" t="n">
        <x:v>10</x:v>
      </x:c>
      <x:c r="B34" s="95" t="str">
        <x:f>INDEX('Bank Comparison'!$B$7:$B$16,MATCH(10,'Bank Comparison'!$R$7:$R$16,0))</x:f>
        <x:v>Punjab National Bank</x:v>
      </x:c>
      <x:c r="C34" s="96" t="n">
        <x:f>INDEX('Bank Comparison'!$F$7:$F$16,MATCH(10,'Bank Comparison'!$R$7:$R$16,0))</x:f>
        <x:v>0.028532608695652172</x:v>
      </x:c>
      <x:c r="D34" s="88"/>
      <x:c r="E34" s="88"/>
      <x:c r="F34" s="88"/>
      <x:c r="G34" s="88"/>
      <x:c r="H34" s="94" t="n">
        <x:v>10</x:v>
      </x:c>
      <x:c r="I34" s="95" t="str">
        <x:f>INDEX('Bank Comparison'!$B$7:$B$16,MATCH(10,'Bank Comparison'!$S$7:$S$16,0))</x:f>
        <x:v>IDFC FIRST Bank</x:v>
      </x:c>
      <x:c r="J34" s="96" t="n">
        <x:f>INDEX('Bank Comparison'!$G$7:$G$16,MATCH(10,'Bank Comparison'!$S$7:$S$16,0))</x:f>
        <x:v>0.7551020408163265</x:v>
      </x:c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90" t="str">
        <x:v>GNPA ranking</x:v>
      </x:c>
      <x:c r="B36" s="90"/>
      <x:c r="C36" s="90"/>
      <x:c r="D36" s="90"/>
      <x:c r="E36" s="90"/>
      <x:c r="F36" s="90"/>
      <x:c r="G36" s="88"/>
      <x:c r="H36" s="90" t="str">
        <x:v>Loan growth ranking</x:v>
      </x:c>
      <x:c r="I36" s="90"/>
      <x:c r="J36" s="90"/>
      <x:c r="K36" s="90"/>
      <x:c r="L36" s="90"/>
      <x:c r="M36" s="90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91" t="str">
        <x:v>Lower is better</x:v>
      </x:c>
      <x:c r="B37" s="88"/>
      <x:c r="C37" s="88"/>
      <x:c r="D37" s="88"/>
      <x:c r="E37" s="88"/>
      <x:c r="F37" s="88"/>
      <x:c r="G37" s="88"/>
      <x:c r="H37" s="91" t="str">
        <x:v>Higher is better</x:v>
      </x:c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40" t="str">
        <x:v>Rank</x:v>
      </x:c>
      <x:c r="B38" s="41" t="str">
        <x:v>Bank</x:v>
      </x:c>
      <x:c r="C38" s="42" t="str">
        <x:v>Value</x:v>
      </x:c>
      <x:c r="D38" s="88"/>
      <x:c r="E38" s="88"/>
      <x:c r="F38" s="88"/>
      <x:c r="G38" s="88"/>
      <x:c r="H38" s="40" t="str">
        <x:v>Rank</x:v>
      </x:c>
      <x:c r="I38" s="41" t="str">
        <x:v>Bank</x:v>
      </x:c>
      <x:c r="J38" s="42" t="str">
        <x:v>Value</x:v>
      </x:c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92" t="n">
        <x:v>1</x:v>
      </x:c>
      <x:c r="B39" s="88" t="str">
        <x:f>INDEX('Bank Comparison'!$B$7:$B$16,MATCH(1,'Bank Comparison'!$T$7:$T$16,0))</x:f>
        <x:v>Axis Bank</x:v>
      </x:c>
      <x:c r="C39" s="93" t="n">
        <x:f>INDEX('Bank Comparison'!$J$7:$J$16,MATCH(1,'Bank Comparison'!$T$7:$T$16,0))</x:f>
        <x:v>0.0128</x:v>
      </x:c>
      <x:c r="D39" s="88"/>
      <x:c r="E39" s="88"/>
      <x:c r="F39" s="88"/>
      <x:c r="G39" s="88"/>
      <x:c r="H39" s="92" t="n">
        <x:v>1</x:v>
      </x:c>
      <x:c r="I39" s="88" t="str">
        <x:f>INDEX('Bank Comparison'!$B$7:$B$16,MATCH(1,'Bank Comparison'!$U$7:$U$16,0))</x:f>
        <x:v>IDFC FIRST Bank</x:v>
      </x:c>
      <x:c r="J39" s="93" t="n">
        <x:f>INDEX('Bank Comparison'!$L$7:$L$16,MATCH(1,'Bank Comparison'!$U$7:$U$16,0))</x:f>
        <x:v>0.205</x:v>
      </x:c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92" t="n">
        <x:v>2</x:v>
      </x:c>
      <x:c r="B40" s="88" t="str">
        <x:f>INDEX('Bank Comparison'!$B$7:$B$16,MATCH(2,'Bank Comparison'!$T$7:$T$16,0))</x:f>
        <x:v>HDFC Bank</x:v>
      </x:c>
      <x:c r="C40" s="93" t="n">
        <x:f>INDEX('Bank Comparison'!$J$7:$J$16,MATCH(2,'Bank Comparison'!$T$7:$T$16,0))</x:f>
        <x:v>0.0133</x:v>
      </x:c>
      <x:c r="D40" s="88"/>
      <x:c r="E40" s="88"/>
      <x:c r="F40" s="88"/>
      <x:c r="G40" s="88"/>
      <x:c r="H40" s="92" t="n">
        <x:v>2</x:v>
      </x:c>
      <x:c r="I40" s="88" t="str">
        <x:f>INDEX('Bank Comparison'!$B$7:$B$16,MATCH(2,'Bank Comparison'!$U$7:$U$16,0))</x:f>
        <x:v>State Bank of India</x:v>
      </x:c>
      <x:c r="J40" s="93" t="n">
        <x:f>INDEX('Bank Comparison'!$L$7:$L$16,MATCH(2,'Bank Comparison'!$U$7:$U$16,0))</x:f>
        <x:v>0.15294117647058825</x:v>
      </x:c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92" t="n">
        <x:v>3</x:v>
      </x:c>
      <x:c r="B41" s="88" t="str">
        <x:f>INDEX('Bank Comparison'!$B$7:$B$16,MATCH(3,'Bank Comparison'!$T$7:$T$16,0))</x:f>
        <x:v>Kotak Mahindra Bank</x:v>
      </x:c>
      <x:c r="C41" s="93" t="n">
        <x:f>INDEX('Bank Comparison'!$J$7:$J$16,MATCH(3,'Bank Comparison'!$T$7:$T$16,0))</x:f>
        <x:v>0.015</x:v>
      </x:c>
      <x:c r="D41" s="88"/>
      <x:c r="E41" s="88"/>
      <x:c r="F41" s="88"/>
      <x:c r="G41" s="88"/>
      <x:c r="H41" s="92" t="n">
        <x:v>3</x:v>
      </x:c>
      <x:c r="I41" s="88" t="str">
        <x:f>INDEX('Bank Comparison'!$B$7:$B$16,MATCH(3,'Bank Comparison'!$U$7:$U$16,0))</x:f>
        <x:v>ICICI Bank</x:v>
      </x:c>
      <x:c r="J41" s="93" t="n">
        <x:f>INDEX('Bank Comparison'!$L$7:$L$16,MATCH(3,'Bank Comparison'!$U$7:$U$16,0))</x:f>
        <x:v>0.14814814814814814</x:v>
      </x:c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92" t="n">
        <x:v>4</x:v>
      </x:c>
      <x:c r="B42" s="88" t="str">
        <x:f>INDEX('Bank Comparison'!$B$7:$B$16,MATCH(4,'Bank Comparison'!$T$7:$T$16,0))</x:f>
        <x:v>ICICI Bank</x:v>
      </x:c>
      <x:c r="C42" s="93" t="n">
        <x:f>INDEX('Bank Comparison'!$J$7:$J$16,MATCH(4,'Bank Comparison'!$T$7:$T$16,0))</x:f>
        <x:v>0.0167</x:v>
      </x:c>
      <x:c r="D42" s="88"/>
      <x:c r="E42" s="88"/>
      <x:c r="F42" s="88"/>
      <x:c r="G42" s="88"/>
      <x:c r="H42" s="92" t="n">
        <x:v>4</x:v>
      </x:c>
      <x:c r="I42" s="88" t="str">
        <x:f>INDEX('Bank Comparison'!$B$7:$B$16,MATCH(4,'Bank Comparison'!$U$7:$U$16,0))</x:f>
        <x:v>Federal Bank</x:v>
      </x:c>
      <x:c r="J42" s="93" t="n">
        <x:f>INDEX('Bank Comparison'!$L$7:$L$16,MATCH(4,'Bank Comparison'!$U$7:$U$16,0))</x:f>
        <x:v>0.14285714285714285</x:v>
      </x:c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92" t="n">
        <x:v>5</x:v>
      </x:c>
      <x:c r="B43" s="88" t="str">
        <x:f>INDEX('Bank Comparison'!$B$7:$B$16,MATCH(5,'Bank Comparison'!$T$7:$T$16,0))</x:f>
        <x:v>State Bank of India</x:v>
      </x:c>
      <x:c r="C43" s="93" t="n">
        <x:f>INDEX('Bank Comparison'!$J$7:$J$16,MATCH(5,'Bank Comparison'!$T$7:$T$16,0))</x:f>
        <x:v>0.0182</x:v>
      </x:c>
      <x:c r="D43" s="88"/>
      <x:c r="E43" s="88"/>
      <x:c r="F43" s="88"/>
      <x:c r="G43" s="88"/>
      <x:c r="H43" s="92" t="n">
        <x:v>5</x:v>
      </x:c>
      <x:c r="I43" s="88" t="str">
        <x:f>INDEX('Bank Comparison'!$B$7:$B$16,MATCH(5,'Bank Comparison'!$U$7:$U$16,0))</x:f>
        <x:v>Kotak Mahindra Bank</x:v>
      </x:c>
      <x:c r="J43" s="93" t="n">
        <x:f>INDEX('Bank Comparison'!$L$7:$L$16,MATCH(5,'Bank Comparison'!$U$7:$U$16,0))</x:f>
        <x:v>0.13445378151260504</x:v>
      </x:c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92" t="n">
        <x:v>6</x:v>
      </x:c>
      <x:c r="B44" s="88" t="str">
        <x:f>INDEX('Bank Comparison'!$B$7:$B$16,MATCH(6,'Bank Comparison'!$T$7:$T$16,0))</x:f>
        <x:v>Federal Bank</x:v>
      </x:c>
      <x:c r="C44" s="93" t="n">
        <x:f>INDEX('Bank Comparison'!$J$7:$J$16,MATCH(6,'Bank Comparison'!$T$7:$T$16,0))</x:f>
        <x:v>0.0184</x:v>
      </x:c>
      <x:c r="D44" s="88"/>
      <x:c r="E44" s="88"/>
      <x:c r="F44" s="88"/>
      <x:c r="G44" s="88"/>
      <x:c r="H44" s="92" t="n">
        <x:v>6</x:v>
      </x:c>
      <x:c r="I44" s="88" t="str">
        <x:f>INDEX('Bank Comparison'!$B$7:$B$16,MATCH(6,'Bank Comparison'!$U$7:$U$16,0))</x:f>
        <x:v>Bank of Baroda</x:v>
      </x:c>
      <x:c r="J44" s="93" t="n">
        <x:f>INDEX('Bank Comparison'!$L$7:$L$16,MATCH(6,'Bank Comparison'!$U$7:$U$16,0))</x:f>
        <x:v>0.12149532710280374</x:v>
      </x:c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92" t="n">
        <x:v>7</x:v>
      </x:c>
      <x:c r="B45" s="88" t="str">
        <x:f>INDEX('Bank Comparison'!$B$7:$B$16,MATCH(7,'Bank Comparison'!$T$7:$T$16,0))</x:f>
        <x:v>IDFC FIRST Bank</x:v>
      </x:c>
      <x:c r="C45" s="93" t="n">
        <x:f>INDEX('Bank Comparison'!$J$7:$J$16,MATCH(7,'Bank Comparison'!$T$7:$T$16,0))</x:f>
        <x:v>0.0187</x:v>
      </x:c>
      <x:c r="D45" s="88"/>
      <x:c r="E45" s="88"/>
      <x:c r="F45" s="88"/>
      <x:c r="G45" s="88"/>
      <x:c r="H45" s="92" t="n">
        <x:v>7</x:v>
      </x:c>
      <x:c r="I45" s="88" t="str">
        <x:f>INDEX('Bank Comparison'!$B$7:$B$16,MATCH(7,'Bank Comparison'!$U$7:$U$16,0))</x:f>
        <x:v>Punjab National Bank</x:v>
      </x:c>
      <x:c r="J45" s="93" t="n">
        <x:f>INDEX('Bank Comparison'!$L$7:$L$16,MATCH(7,'Bank Comparison'!$U$7:$U$16,0))</x:f>
        <x:v>0.12121212121212122</x:v>
      </x:c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92" t="n">
        <x:v>8</x:v>
      </x:c>
      <x:c r="B46" s="88" t="str">
        <x:f>INDEX('Bank Comparison'!$B$7:$B$16,MATCH(8,'Bank Comparison'!$T$7:$T$16,0))</x:f>
        <x:v>Bank of Baroda</x:v>
      </x:c>
      <x:c r="C46" s="93" t="n">
        <x:f>INDEX('Bank Comparison'!$J$7:$J$16,MATCH(8,'Bank Comparison'!$T$7:$T$16,0))</x:f>
        <x:v>0.0226</x:v>
      </x:c>
      <x:c r="D46" s="88"/>
      <x:c r="E46" s="88"/>
      <x:c r="F46" s="88"/>
      <x:c r="G46" s="88"/>
      <x:c r="H46" s="92" t="n">
        <x:v>8</x:v>
      </x:c>
      <x:c r="I46" s="88" t="str">
        <x:f>INDEX('Bank Comparison'!$B$7:$B$16,MATCH(8,'Bank Comparison'!$U$7:$U$16,0))</x:f>
        <x:v>IndusInd Bank</x:v>
      </x:c>
      <x:c r="J46" s="93" t="n">
        <x:f>INDEX('Bank Comparison'!$L$7:$L$16,MATCH(8,'Bank Comparison'!$U$7:$U$16,0))</x:f>
        <x:v>0.11988304093567251</x:v>
      </x:c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92" t="n">
        <x:v>9</x:v>
      </x:c>
      <x:c r="B47" s="88" t="str">
        <x:f>INDEX('Bank Comparison'!$B$7:$B$16,MATCH(9,'Bank Comparison'!$T$7:$T$16,0))</x:f>
        <x:v>IndusInd Bank</x:v>
      </x:c>
      <x:c r="C47" s="93" t="n">
        <x:f>INDEX('Bank Comparison'!$J$7:$J$16,MATCH(9,'Bank Comparison'!$T$7:$T$16,0))</x:f>
        <x:v>0.0313</x:v>
      </x:c>
      <x:c r="D47" s="88"/>
      <x:c r="E47" s="88"/>
      <x:c r="F47" s="88"/>
      <x:c r="G47" s="88"/>
      <x:c r="H47" s="92" t="n">
        <x:v>9</x:v>
      </x:c>
      <x:c r="I47" s="88" t="str">
        <x:f>INDEX('Bank Comparison'!$B$7:$B$16,MATCH(9,'Bank Comparison'!$U$7:$U$16,0))</x:f>
        <x:v>Axis Bank</x:v>
      </x:c>
      <x:c r="J47" s="93" t="n">
        <x:f>INDEX('Bank Comparison'!$L$7:$L$16,MATCH(9,'Bank Comparison'!$U$7:$U$16,0))</x:f>
        <x:v>0.11827956989247312</x:v>
      </x:c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94" t="n">
        <x:v>10</x:v>
      </x:c>
      <x:c r="B48" s="95" t="str">
        <x:f>INDEX('Bank Comparison'!$B$7:$B$16,MATCH(10,'Bank Comparison'!$T$7:$T$16,0))</x:f>
        <x:v>Punjab National Bank</x:v>
      </x:c>
      <x:c r="C48" s="96" t="n">
        <x:f>INDEX('Bank Comparison'!$J$7:$J$16,MATCH(10,'Bank Comparison'!$T$7:$T$16,0))</x:f>
        <x:v>0.0395</x:v>
      </x:c>
      <x:c r="D48" s="88"/>
      <x:c r="E48" s="88"/>
      <x:c r="F48" s="88"/>
      <x:c r="G48" s="88"/>
      <x:c r="H48" s="94" t="n">
        <x:v>10</x:v>
      </x:c>
      <x:c r="I48" s="95" t="str">
        <x:f>INDEX('Bank Comparison'!$B$7:$B$16,MATCH(10,'Bank Comparison'!$U$7:$U$16,0))</x:f>
        <x:v>HDFC Bank</x:v>
      </x:c>
      <x:c r="J48" s="96" t="n">
        <x:f>INDEX('Bank Comparison'!$L$7:$L$16,MATCH(10,'Bank Comparison'!$U$7:$U$16,0))</x:f>
        <x:v>0.0574</x:v>
      </x:c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mergeCells>
    <x:mergeCell ref="A1:P1"/>
    <x:mergeCell ref="A3:P3"/>
    <x:mergeCell ref="A8:F8"/>
    <x:mergeCell ref="A9:F9"/>
    <x:mergeCell ref="H8:M8"/>
    <x:mergeCell ref="H9:M9"/>
    <x:mergeCell ref="A22:F22"/>
    <x:mergeCell ref="A23:F23"/>
    <x:mergeCell ref="H22:M22"/>
    <x:mergeCell ref="H23:M23"/>
    <x:mergeCell ref="A36:F36"/>
    <x:mergeCell ref="A37:F37"/>
    <x:mergeCell ref="H36:M36"/>
    <x:mergeCell ref="H37:M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4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2" hidden="0" customWidth="1"/>
    <x:col min="13" max="13" width="14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1" hidden="0" customWidth="1"/>
    <x:col min="21" max="21" width="14" hidden="0" customWidth="1"/>
  </x:cols>
  <x:sheetData>
    <x:row r="1" ht="30" customHeight="1">
      <x:c r="A1" s="5" t="str">
        <x:v>Bank Comparison — FY2025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91" t="str">
        <x:v>All amounts in ₹ crore. Ratios use average FY24/FY25 balance sheet values where applicable.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88"/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13" t="str">
        <x:v>Rank</x:v>
      </x:c>
      <x:c r="B6" s="13" t="str">
        <x:v>Bank</x:v>
      </x:c>
      <x:c r="C6" s="13" t="str">
        <x:v>Ownership</x:v>
      </x:c>
      <x:c r="D6" s="13" t="str">
        <x:v>ROA</x:v>
      </x:c>
      <x:c r="E6" s="13" t="str">
        <x:v>ROE</x:v>
      </x:c>
      <x:c r="F6" s="13" t="str">
        <x:v>NIM</x:v>
      </x:c>
      <x:c r="G6" s="13" t="str">
        <x:v>Cost / income</x:v>
      </x:c>
      <x:c r="H6" s="13" t="str">
        <x:v>CASA ratio</x:v>
      </x:c>
      <x:c r="I6" s="13" t="str">
        <x:v>Credit cost</x:v>
      </x:c>
      <x:c r="J6" s="13" t="str">
        <x:v>GNPA</x:v>
      </x:c>
      <x:c r="K6" s="13" t="str">
        <x:v>NNPA</x:v>
      </x:c>
      <x:c r="L6" s="13" t="str">
        <x:v>Loan growth</x:v>
      </x:c>
      <x:c r="M6" s="13" t="str">
        <x:v>Deposit growth</x:v>
      </x:c>
      <x:c r="N6" s="13" t="str">
        <x:v>CET1</x:v>
      </x:c>
      <x:c r="O6" s="13" t="str">
        <x:v>CAR</x:v>
      </x:c>
      <x:c r="P6" s="13" t="str">
        <x:v>ROA rank</x:v>
      </x:c>
      <x:c r="Q6" s="13" t="str">
        <x:v>ROE rank</x:v>
      </x:c>
      <x:c r="R6" s="13" t="str">
        <x:v>NIM rank</x:v>
      </x:c>
      <x:c r="S6" s="13" t="str">
        <x:v>C/I rank</x:v>
      </x:c>
      <x:c r="T6" s="13" t="str">
        <x:v>GNPA rank</x:v>
      </x:c>
      <x:c r="U6" s="13" t="str">
        <x:v>Loan growth rank</x:v>
      </x:c>
      <x:c r="V6" s="88"/>
      <x:c r="W6" s="88"/>
      <x:c r="X6" s="88"/>
      <x:c r="Y6" s="88"/>
      <x:c r="Z6" s="88"/>
    </x:row>
    <x:row r="7">
      <x:c r="A7" s="97" t="n">
        <x:f>RANK(D7,$D$7:$D$16,0)</x:f>
        <x:v>3</x:v>
      </x:c>
      <x:c r="B7" s="88" t="str">
        <x:f>'Data &amp; Sources'!A6</x:f>
        <x:v>HDFC Bank</x:v>
      </x:c>
      <x:c r="C7" s="88" t="str">
        <x:f>'Data &amp; Sources'!B6</x:f>
        <x:v>Private</x:v>
      </x:c>
      <x:c r="D7" s="98" t="n">
        <x:f>'Data &amp; Sources'!F6/AVERAGE('Data &amp; Sources'!G6:'Data &amp; Sources'!H6)</x:f>
        <x:v>0.017643961226093793</x:v>
      </x:c>
      <x:c r="E7" s="98" t="n">
        <x:f>'Data &amp; Sources'!F6/AVERAGE('Data &amp; Sources'!O6:'Data &amp; Sources'!P6)</x:f>
        <x:v>0.18177327935222673</x:v>
      </x:c>
      <x:c r="F7" s="98" t="n">
        <x:f>'Data &amp; Sources'!C6/AVERAGE('Data &amp; Sources'!I6+'Data &amp; Sources'!Q6,'Data &amp; Sources'!J6+'Data &amp; Sources'!R6)</x:f>
        <x:v>0.0360926811327694</x:v>
      </x:c>
      <x:c r="G7" s="98" t="n">
        <x:f>'Data &amp; Sources'!W6/'Data &amp; Sources'!E6</x:f>
        <x:v>0.3190201896782452</x:v>
      </x:c>
      <x:c r="H7" s="98" t="n">
        <x:f>'Data &amp; Sources'!M6/'Data &amp; Sources'!K6</x:f>
        <x:v>0.33874538745387456</x:v>
      </x:c>
      <x:c r="I7" s="98" t="n">
        <x:f>'Data &amp; Sources'!AC6/AVERAGE('Data &amp; Sources'!I6,'Data &amp; Sources'!J6)</x:f>
        <x:v>0.0024108097598911247</x:v>
      </x:c>
      <x:c r="J7" s="98" t="n">
        <x:f>'Data &amp; Sources'!S6</x:f>
        <x:v>0.0133</x:v>
      </x:c>
      <x:c r="K7" s="98" t="n">
        <x:f>'Data &amp; Sources'!T6</x:f>
        <x:v>0.0033</x:v>
      </x:c>
      <x:c r="L7" s="98" t="n">
        <x:f>('Data &amp; Sources'!I6-'Data &amp; Sources'!J6)/'Data &amp; Sources'!J6</x:f>
        <x:v>0.0574</x:v>
      </x:c>
      <x:c r="M7" s="98" t="n">
        <x:f>('Data &amp; Sources'!K6-'Data &amp; Sources'!L6)/'Data &amp; Sources'!L6</x:f>
        <x:v>0.13865546218487396</x:v>
      </x:c>
      <x:c r="N7" s="98" t="n">
        <x:f>'Data &amp; Sources'!Y6</x:f>
        <x:v>0.16</x:v>
      </x:c>
      <x:c r="O7" s="98" t="n">
        <x:f>'Data &amp; Sources'!AA6</x:f>
        <x:v>0.198</x:v>
      </x:c>
      <x:c r="P7" s="88" t="n">
        <x:f>RANK(D7,$D$7:$D$16,0)</x:f>
        <x:v>3</x:v>
      </x:c>
      <x:c r="Q7" s="88" t="n">
        <x:f>RANK(E7,$E$7:$E$16,0)</x:f>
        <x:v>3</x:v>
      </x:c>
      <x:c r="R7" s="88" t="n">
        <x:f>RANK(F7,$F$7:$F$16,0)</x:f>
        <x:v>6</x:v>
      </x:c>
      <x:c r="S7" s="88" t="n">
        <x:f>RANK(G7,$G$7:$G$16,1)</x:f>
        <x:v>1</x:v>
      </x:c>
      <x:c r="T7" s="88" t="n">
        <x:f>RANK(J7,$J$7:$J$16,1)</x:f>
        <x:v>2</x:v>
      </x:c>
      <x:c r="U7" s="88" t="n">
        <x:f>RANK(L7,$L$7:$L$16,0)</x:f>
        <x:v>10</x:v>
      </x:c>
      <x:c r="V7" s="88"/>
      <x:c r="W7" s="88"/>
      <x:c r="X7" s="88"/>
      <x:c r="Y7" s="88"/>
      <x:c r="Z7" s="88"/>
    </x:row>
    <x:row r="8">
      <x:c r="A8" s="97" t="n">
        <x:f>RANK(D8,$D$7:$D$16,0)</x:f>
        <x:v>1</x:v>
      </x:c>
      <x:c r="B8" s="88" t="str">
        <x:f>'Data &amp; Sources'!A7</x:f>
        <x:v>ICICI Bank</x:v>
      </x:c>
      <x:c r="C8" s="88" t="str">
        <x:f>'Data &amp; Sources'!B7</x:f>
        <x:v>Private</x:v>
      </x:c>
      <x:c r="D8" s="98" t="n">
        <x:f>'Data &amp; Sources'!F7/AVERAGE('Data &amp; Sources'!G7:'Data &amp; Sources'!H7)</x:f>
        <x:v>0.0245526384195477</x:v>
      </x:c>
      <x:c r="E8" s="98" t="n">
        <x:f>'Data &amp; Sources'!F7/AVERAGE('Data &amp; Sources'!O7:'Data &amp; Sources'!P7)</x:f>
        <x:v>0.19043145161290323</x:v>
      </x:c>
      <x:c r="F8" s="98" t="n">
        <x:f>'Data &amp; Sources'!C7/AVERAGE('Data &amp; Sources'!I7+'Data &amp; Sources'!Q7,'Data &amp; Sources'!J7+'Data &amp; Sources'!R7)</x:f>
        <x:v>0.04887829139847864</x:v>
      </x:c>
      <x:c r="G8" s="98" t="n">
        <x:f>'Data &amp; Sources'!W7/'Data &amp; Sources'!E7</x:f>
        <x:v>0.33272295804833185</x:v>
      </x:c>
      <x:c r="H8" s="98" t="n">
        <x:f>'Data &amp; Sources'!M7/'Data &amp; Sources'!K7</x:f>
        <x:v>0.40947992100065833</x:v>
      </x:c>
      <x:c r="I8" s="98" t="n">
        <x:f>'Data &amp; Sources'!AC7/AVERAGE('Data &amp; Sources'!I7,'Data &amp; Sources'!J7)</x:f>
        <x:v>0.0031118587047939445</x:v>
      </x:c>
      <x:c r="J8" s="98" t="n">
        <x:f>'Data &amp; Sources'!S7</x:f>
        <x:v>0.0167</x:v>
      </x:c>
      <x:c r="K8" s="98" t="n">
        <x:f>'Data &amp; Sources'!T7</x:f>
        <x:v>0.0039</x:v>
      </x:c>
      <x:c r="L8" s="98" t="n">
        <x:f>('Data &amp; Sources'!I7-'Data &amp; Sources'!J7)/'Data &amp; Sources'!J7</x:f>
        <x:v>0.14814814814814814</x:v>
      </x:c>
      <x:c r="M8" s="98" t="n">
        <x:f>('Data &amp; Sources'!K7-'Data &amp; Sources'!L7)/'Data &amp; Sources'!L7</x:f>
        <x:v>0.12103321033210332</x:v>
      </x:c>
      <x:c r="N8" s="98" t="n">
        <x:f>'Data &amp; Sources'!Y7</x:f>
        <x:v>0.165</x:v>
      </x:c>
      <x:c r="O8" s="98" t="n">
        <x:f>'Data &amp; Sources'!AA7</x:f>
        <x:v>0.183</x:v>
      </x:c>
      <x:c r="P8" s="88" t="n">
        <x:f>RANK(D8,$D$7:$D$16,0)</x:f>
        <x:v>1</x:v>
      </x:c>
      <x:c r="Q8" s="88" t="n">
        <x:f>RANK(E8,$E$7:$E$16,0)</x:f>
        <x:v>2</x:v>
      </x:c>
      <x:c r="R8" s="88" t="n">
        <x:f>RANK(F8,$F$7:$F$16,0)</x:f>
        <x:v>1</x:v>
      </x:c>
      <x:c r="S8" s="88" t="n">
        <x:f>RANK(G8,$G$7:$G$16,1)</x:f>
        <x:v>2</x:v>
      </x:c>
      <x:c r="T8" s="88" t="n">
        <x:f>RANK(J8,$J$7:$J$16,1)</x:f>
        <x:v>4</x:v>
      </x:c>
      <x:c r="U8" s="88" t="n">
        <x:f>RANK(L8,$L$7:$L$16,0)</x:f>
        <x:v>3</x:v>
      </x:c>
      <x:c r="V8" s="88"/>
      <x:c r="W8" s="88"/>
      <x:c r="X8" s="88"/>
      <x:c r="Y8" s="88"/>
      <x:c r="Z8" s="88"/>
    </x:row>
    <x:row r="9">
      <x:c r="A9" s="97" t="n">
        <x:f>RANK(D9,$D$7:$D$16,0)</x:f>
        <x:v>5</x:v>
      </x:c>
      <x:c r="B9" s="88" t="str">
        <x:f>'Data &amp; Sources'!A8</x:f>
        <x:v>State Bank of India</x:v>
      </x:c>
      <x:c r="C9" s="88" t="str">
        <x:f>'Data &amp; Sources'!B8</x:f>
        <x:v>PSU</x:v>
      </x:c>
      <x:c r="D9" s="98" t="n">
        <x:f>'Data &amp; Sources'!F8/AVERAGE('Data &amp; Sources'!G8:'Data &amp; Sources'!H8)</x:f>
        <x:v>0.011095618153364632</x:v>
      </x:c>
      <x:c r="E9" s="98" t="n">
        <x:f>'Data &amp; Sources'!F8/AVERAGE('Data &amp; Sources'!O8:'Data &amp; Sources'!P8)</x:f>
        <x:v>0.21038872403560832</x:v>
      </x:c>
      <x:c r="F9" s="98" t="n">
        <x:f>'Data &amp; Sources'!C8/AVERAGE('Data &amp; Sources'!I8+'Data &amp; Sources'!Q8,'Data &amp; Sources'!J8+'Data &amp; Sources'!R8)</x:f>
        <x:v>0.030134328358208954</x:v>
      </x:c>
      <x:c r="G9" s="98" t="n">
        <x:f>'Data &amp; Sources'!W8/'Data &amp; Sources'!E8</x:f>
        <x:v>0.35726365635041435</x:v>
      </x:c>
      <x:c r="H9" s="98" t="n">
        <x:f>'Data &amp; Sources'!M8/'Data &amp; Sources'!K8</x:f>
        <x:v>0.4144981412639405</x:v>
      </x:c>
      <x:c r="I9" s="98" t="n">
        <x:f>'Data &amp; Sources'!AC8/AVERAGE('Data &amp; Sources'!I8,'Data &amp; Sources'!J8)</x:f>
        <x:v>0.0009289617486338798</x:v>
      </x:c>
      <x:c r="J9" s="98" t="n">
        <x:f>'Data &amp; Sources'!S8</x:f>
        <x:v>0.0182</x:v>
      </x:c>
      <x:c r="K9" s="98" t="n">
        <x:f>'Data &amp; Sources'!T8</x:f>
        <x:v>0.0047</x:v>
      </x:c>
      <x:c r="L9" s="98" t="n">
        <x:f>('Data &amp; Sources'!I8-'Data &amp; Sources'!J8)/'Data &amp; Sources'!J8</x:f>
        <x:v>0.15294117647058825</x:v>
      </x:c>
      <x:c r="M9" s="98" t="n">
        <x:f>('Data &amp; Sources'!K8-'Data &amp; Sources'!L8)/'Data &amp; Sources'!L8</x:f>
        <x:v>0.08686868686868687</x:v>
      </x:c>
      <x:c r="N9" s="98" t="n">
        <x:f>'Data &amp; Sources'!Y8</x:f>
        <x:v>0.111</x:v>
      </x:c>
      <x:c r="O9" s="98" t="n">
        <x:f>'Data &amp; Sources'!AA8</x:f>
        <x:v>0.142</x:v>
      </x:c>
      <x:c r="P9" s="88" t="n">
        <x:f>RANK(D9,$D$7:$D$16,0)</x:f>
        <x:v>5</x:v>
      </x:c>
      <x:c r="Q9" s="88" t="n">
        <x:f>RANK(E9,$E$7:$E$16,0)</x:f>
        <x:v>1</x:v>
      </x:c>
      <x:c r="R9" s="88" t="n">
        <x:f>RANK(F9,$F$7:$F$16,0)</x:f>
        <x:v>8</x:v>
      </x:c>
      <x:c r="S9" s="88" t="n">
        <x:f>RANK(G9,$G$7:$G$16,1)</x:f>
        <x:v>3</x:v>
      </x:c>
      <x:c r="T9" s="88" t="n">
        <x:f>RANK(J9,$J$7:$J$16,1)</x:f>
        <x:v>5</x:v>
      </x:c>
      <x:c r="U9" s="88" t="n">
        <x:f>RANK(L9,$L$7:$L$16,0)</x:f>
        <x:v>2</x:v>
      </x:c>
      <x:c r="V9" s="88"/>
      <x:c r="W9" s="88"/>
      <x:c r="X9" s="88"/>
      <x:c r="Y9" s="88"/>
      <x:c r="Z9" s="88"/>
    </x:row>
    <x:row r="10">
      <x:c r="A10" s="97" t="n">
        <x:f>RANK(D10,$D$7:$D$16,0)</x:f>
        <x:v>2</x:v>
      </x:c>
      <x:c r="B10" s="88" t="str">
        <x:f>'Data &amp; Sources'!A9</x:f>
        <x:v>Axis Bank</x:v>
      </x:c>
      <x:c r="C10" s="88" t="str">
        <x:f>'Data &amp; Sources'!B9</x:f>
        <x:v>Private</x:v>
      </x:c>
      <x:c r="D10" s="98" t="n">
        <x:f>'Data &amp; Sources'!F9/AVERAGE('Data &amp; Sources'!G9:'Data &amp; Sources'!H9)</x:f>
        <x:v>0.018158576051779934</x:v>
      </x:c>
      <x:c r="E10" s="98" t="n">
        <x:f>'Data &amp; Sources'!F9/AVERAGE('Data &amp; Sources'!O9:'Data &amp; Sources'!P9)</x:f>
        <x:v>0.1640643274853801</x:v>
      </x:c>
      <x:c r="F10" s="98" t="n">
        <x:f>'Data &amp; Sources'!C9/AVERAGE('Data &amp; Sources'!I9+'Data &amp; Sources'!Q9,'Data &amp; Sources'!J9+'Data &amp; Sources'!R9)</x:f>
        <x:v>0.03717472118959108</x:v>
      </x:c>
      <x:c r="G10" s="98" t="n">
        <x:f>'Data &amp; Sources'!W9/'Data &amp; Sources'!E9</x:f>
        <x:v>0.3978494623655914</x:v>
      </x:c>
      <x:c r="H10" s="98" t="n">
        <x:f>'Data &amp; Sources'!M9/'Data &amp; Sources'!K9</x:f>
        <x:v>0.3885567890691716</x:v>
      </x:c>
      <x:c r="I10" s="98" t="n">
        <x:f>'Data &amp; Sources'!AC9/AVERAGE('Data &amp; Sources'!I9,'Data &amp; Sources'!J9)</x:f>
        <x:v>0.004162436548223351</x:v>
      </x:c>
      <x:c r="J10" s="98" t="n">
        <x:f>'Data &amp; Sources'!S9</x:f>
        <x:v>0.0128</x:v>
      </x:c>
      <x:c r="K10" s="98" t="n">
        <x:f>'Data &amp; Sources'!T9</x:f>
        <x:v>0.0033</x:v>
      </x:c>
      <x:c r="L10" s="98" t="n">
        <x:f>('Data &amp; Sources'!I9-'Data &amp; Sources'!J9)/'Data &amp; Sources'!J9</x:f>
        <x:v>0.11827956989247312</x:v>
      </x:c>
      <x:c r="M10" s="98" t="n">
        <x:f>('Data &amp; Sources'!K9-'Data &amp; Sources'!L9)/'Data &amp; Sources'!L9</x:f>
        <x:v>0.10159924741298212</x:v>
      </x:c>
      <x:c r="N10" s="98" t="n">
        <x:f>'Data &amp; Sources'!Y9</x:f>
        <x:v>0.14</x:v>
      </x:c>
      <x:c r="O10" s="98" t="n">
        <x:f>'Data &amp; Sources'!AA9</x:f>
        <x:v>0.166</x:v>
      </x:c>
      <x:c r="P10" s="88" t="n">
        <x:f>RANK(D10,$D$7:$D$16,0)</x:f>
        <x:v>2</x:v>
      </x:c>
      <x:c r="Q10" s="88" t="n">
        <x:f>RANK(E10,$E$7:$E$16,0)</x:f>
        <x:v>7</x:v>
      </x:c>
      <x:c r="R10" s="88" t="n">
        <x:f>RANK(F10,$F$7:$F$16,0)</x:f>
        <x:v>5</x:v>
      </x:c>
      <x:c r="S10" s="88" t="n">
        <x:f>RANK(G10,$G$7:$G$16,1)</x:f>
        <x:v>4</x:v>
      </x:c>
      <x:c r="T10" s="88" t="n">
        <x:f>RANK(J10,$J$7:$J$16,1)</x:f>
        <x:v>1</x:v>
      </x:c>
      <x:c r="U10" s="88" t="n">
        <x:f>RANK(L10,$L$7:$L$16,0)</x:f>
        <x:v>9</x:v>
      </x:c>
      <x:c r="V10" s="88"/>
      <x:c r="W10" s="88"/>
      <x:c r="X10" s="88"/>
      <x:c r="Y10" s="88"/>
      <x:c r="Z10" s="88"/>
    </x:row>
    <x:row r="11">
      <x:c r="A11" s="97" t="n">
        <x:f>RANK(D11,$D$7:$D$16,0)</x:f>
        <x:v>8</x:v>
      </x:c>
      <x:c r="B11" s="88" t="str">
        <x:f>'Data &amp; Sources'!A10</x:f>
        <x:v>Kotak Mahindra Bank</x:v>
      </x:c>
      <x:c r="C11" s="88" t="str">
        <x:f>'Data &amp; Sources'!B10</x:f>
        <x:v>Private</x:v>
      </x:c>
      <x:c r="D11" s="98" t="n">
        <x:f>'Data &amp; Sources'!F10/AVERAGE('Data &amp; Sources'!G10:'Data &amp; Sources'!H10)</x:f>
        <x:v>0.007268518518518519</x:v>
      </x:c>
      <x:c r="E11" s="98" t="n">
        <x:f>'Data &amp; Sources'!F10/AVERAGE('Data &amp; Sources'!O10:'Data &amp; Sources'!P10)</x:f>
        <x:v>0.03768</x:v>
      </x:c>
      <x:c r="F11" s="98" t="n">
        <x:f>'Data &amp; Sources'!C10/AVERAGE('Data &amp; Sources'!I10+'Data &amp; Sources'!Q10,'Data &amp; Sources'!J10+'Data &amp; Sources'!R10)</x:f>
        <x:v>0.04875536480686695</x:v>
      </x:c>
      <x:c r="G11" s="98" t="n">
        <x:f>'Data &amp; Sources'!W10/'Data &amp; Sources'!E10</x:f>
        <x:v>0.44017094017094016</x:v>
      </x:c>
      <x:c r="H11" s="98" t="n">
        <x:f>'Data &amp; Sources'!M10/'Data &amp; Sources'!K10</x:f>
        <x:v>0.43902439024390244</x:v>
      </x:c>
      <x:c r="I11" s="98" t="n">
        <x:f>'Data &amp; Sources'!AC10/AVERAGE('Data &amp; Sources'!I10,'Data &amp; Sources'!J10)</x:f>
        <x:v>0.006561679790026247</x:v>
      </x:c>
      <x:c r="J11" s="98" t="n">
        <x:f>'Data &amp; Sources'!S10</x:f>
        <x:v>0.015</x:v>
      </x:c>
      <x:c r="K11" s="98" t="n">
        <x:f>'Data &amp; Sources'!T10</x:f>
        <x:v>0.0031</x:v>
      </x:c>
      <x:c r="L11" s="98" t="n">
        <x:f>('Data &amp; Sources'!I10-'Data &amp; Sources'!J10)/'Data &amp; Sources'!J10</x:f>
        <x:v>0.13445378151260504</x:v>
      </x:c>
      <x:c r="M11" s="98" t="n">
        <x:f>('Data &amp; Sources'!K10-'Data &amp; Sources'!L10)/'Data &amp; Sources'!L10</x:f>
        <x:v>0.13032581453634084</x:v>
      </x:c>
      <x:c r="N11" s="98" t="n">
        <x:f>'Data &amp; Sources'!Y10</x:f>
        <x:v>0.214</x:v>
      </x:c>
      <x:c r="O11" s="98" t="n">
        <x:f>'Data &amp; Sources'!AA10</x:f>
        <x:v>0.223</x:v>
      </x:c>
      <x:c r="P11" s="88" t="n">
        <x:f>RANK(D11,$D$7:$D$16,0)</x:f>
        <x:v>8</x:v>
      </x:c>
      <x:c r="Q11" s="88" t="n">
        <x:f>RANK(E11,$E$7:$E$16,0)</x:f>
        <x:v>10</x:v>
      </x:c>
      <x:c r="R11" s="88" t="n">
        <x:f>RANK(F11,$F$7:$F$16,0)</x:f>
        <x:v>2</x:v>
      </x:c>
      <x:c r="S11" s="88" t="n">
        <x:f>RANK(G11,$G$7:$G$16,1)</x:f>
        <x:v>5</x:v>
      </x:c>
      <x:c r="T11" s="88" t="n">
        <x:f>RANK(J11,$J$7:$J$16,1)</x:f>
        <x:v>3</x:v>
      </x:c>
      <x:c r="U11" s="88" t="n">
        <x:f>RANK(L11,$L$7:$L$16,0)</x:f>
        <x:v>5</x:v>
      </x:c>
      <x:c r="V11" s="88"/>
      <x:c r="W11" s="88"/>
      <x:c r="X11" s="88"/>
      <x:c r="Y11" s="88"/>
      <x:c r="Z11" s="88"/>
    </x:row>
    <x:row r="12">
      <x:c r="A12" s="97" t="n">
        <x:f>RANK(D12,$D$7:$D$16,0)</x:f>
        <x:v>9</x:v>
      </x:c>
      <x:c r="B12" s="88" t="str">
        <x:f>'Data &amp; Sources'!A11</x:f>
        <x:v>IndusInd Bank</x:v>
      </x:c>
      <x:c r="C12" s="88" t="str">
        <x:f>'Data &amp; Sources'!B11</x:f>
        <x:v>Private</x:v>
      </x:c>
      <x:c r="D12" s="98" t="n">
        <x:f>'Data &amp; Sources'!F11/AVERAGE('Data &amp; Sources'!G11:'Data &amp; Sources'!H11)</x:f>
        <x:v>0.005278947368421052</x:v>
      </x:c>
      <x:c r="E12" s="98" t="n">
        <x:f>'Data &amp; Sources'!F11/AVERAGE('Data &amp; Sources'!O11:'Data &amp; Sources'!P11)</x:f>
        <x:v>0.048926829268292685</x:v>
      </x:c>
      <x:c r="F12" s="98" t="n">
        <x:f>'Data &amp; Sources'!C11/AVERAGE('Data &amp; Sources'!I11+'Data &amp; Sources'!Q11,'Data &amp; Sources'!J11+'Data &amp; Sources'!R11)</x:f>
        <x:v>0.0433710174717369</x:v>
      </x:c>
      <x:c r="G12" s="98" t="n">
        <x:f>'Data &amp; Sources'!W11/'Data &amp; Sources'!E11</x:f>
        <x:v>0.7088607594936709</x:v>
      </x:c>
      <x:c r="H12" s="98" t="n">
        <x:f>'Data &amp; Sources'!M11/'Data &amp; Sources'!K11</x:f>
        <x:v>0.3705357142857143</x:v>
      </x:c>
      <x:c r="I12" s="98" t="n">
        <x:f>'Data &amp; Sources'!AC11/AVERAGE('Data &amp; Sources'!I11,'Data &amp; Sources'!J11)</x:f>
        <x:v>0.016551724137931035</x:v>
      </x:c>
      <x:c r="J12" s="98" t="n">
        <x:f>'Data &amp; Sources'!S11</x:f>
        <x:v>0.0313</x:v>
      </x:c>
      <x:c r="K12" s="98" t="n">
        <x:f>'Data &amp; Sources'!T11</x:f>
        <x:v>0.0095</x:v>
      </x:c>
      <x:c r="L12" s="98" t="n">
        <x:f>('Data &amp; Sources'!I11-'Data &amp; Sources'!J11)/'Data &amp; Sources'!J11</x:f>
        <x:v>0.11988304093567251</x:v>
      </x:c>
      <x:c r="M12" s="98" t="n">
        <x:f>('Data &amp; Sources'!K11-'Data &amp; Sources'!L11)/'Data &amp; Sources'!L11</x:f>
        <x:v>0.12562814070351758</x:v>
      </x:c>
      <x:c r="N12" s="98" t="n">
        <x:f>'Data &amp; Sources'!Y11</x:f>
        <x:v>0.152</x:v>
      </x:c>
      <x:c r="O12" s="98" t="n">
        <x:f>'Data &amp; Sources'!AA11</x:f>
        <x:v>0.172</x:v>
      </x:c>
      <x:c r="P12" s="88" t="n">
        <x:f>RANK(D12,$D$7:$D$16,0)</x:f>
        <x:v>9</x:v>
      </x:c>
      <x:c r="Q12" s="88" t="n">
        <x:f>RANK(E12,$E$7:$E$16,0)</x:f>
        <x:v>8</x:v>
      </x:c>
      <x:c r="R12" s="88" t="n">
        <x:f>RANK(F12,$F$7:$F$16,0)</x:f>
        <x:v>3</x:v>
      </x:c>
      <x:c r="S12" s="88" t="n">
        <x:f>RANK(G12,$G$7:$G$16,1)</x:f>
        <x:v>9</x:v>
      </x:c>
      <x:c r="T12" s="88" t="n">
        <x:f>RANK(J12,$J$7:$J$16,1)</x:f>
        <x:v>9</x:v>
      </x:c>
      <x:c r="U12" s="88" t="n">
        <x:f>RANK(L12,$L$7:$L$16,0)</x:f>
        <x:v>8</x:v>
      </x:c>
      <x:c r="V12" s="88"/>
      <x:c r="W12" s="88"/>
      <x:c r="X12" s="88"/>
      <x:c r="Y12" s="88"/>
      <x:c r="Z12" s="88"/>
    </x:row>
    <x:row r="13">
      <x:c r="A13" s="97" t="n">
        <x:f>RANK(D13,$D$7:$D$16,0)</x:f>
        <x:v>6</x:v>
      </x:c>
      <x:c r="B13" s="88" t="str">
        <x:f>'Data &amp; Sources'!A12</x:f>
        <x:v>Bank of Baroda</x:v>
      </x:c>
      <x:c r="C13" s="88" t="str">
        <x:f>'Data &amp; Sources'!B12</x:f>
        <x:v>PSU</x:v>
      </x:c>
      <x:c r="D13" s="98" t="n">
        <x:f>'Data &amp; Sources'!F12/AVERAGE('Data &amp; Sources'!G12:'Data &amp; Sources'!H12)</x:f>
        <x:v>0.011000561797752809</x:v>
      </x:c>
      <x:c r="E13" s="98" t="n">
        <x:f>'Data &amp; Sources'!F12/AVERAGE('Data &amp; Sources'!O12:'Data &amp; Sources'!P12)</x:f>
        <x:v>0.16880172413793104</x:v>
      </x:c>
      <x:c r="F13" s="98" t="n">
        <x:f>'Data &amp; Sources'!C12/AVERAGE('Data &amp; Sources'!I12+'Data &amp; Sources'!Q12,'Data &amp; Sources'!J12+'Data &amp; Sources'!R12)</x:f>
        <x:v>0.028669367404175757</x:v>
      </x:c>
      <x:c r="G13" s="98" t="n">
        <x:f>'Data &amp; Sources'!W12/'Data &amp; Sources'!E12</x:f>
        <x:v>0.47313432835820896</x:v>
      </x:c>
      <x:c r="H13" s="98" t="n">
        <x:f>'Data &amp; Sources'!M12/'Data &amp; Sources'!K12</x:f>
        <x:v>0.3618705035971223</x:v>
      </x:c>
      <x:c r="I13" s="98" t="n">
        <x:f>'Data &amp; Sources'!AC12/AVERAGE('Data &amp; Sources'!I12,'Data &amp; Sources'!J12)</x:f>
        <x:v>0.0028193832599118945</x:v>
      </x:c>
      <x:c r="J13" s="98" t="n">
        <x:f>'Data &amp; Sources'!S12</x:f>
        <x:v>0.0226</x:v>
      </x:c>
      <x:c r="K13" s="98" t="n">
        <x:f>'Data &amp; Sources'!T12</x:f>
        <x:v>0.0058</x:v>
      </x:c>
      <x:c r="L13" s="98" t="n">
        <x:f>('Data &amp; Sources'!I12-'Data &amp; Sources'!J12)/'Data &amp; Sources'!J12</x:f>
        <x:v>0.12149532710280374</x:v>
      </x:c>
      <x:c r="M13" s="98" t="n">
        <x:f>('Data &amp; Sources'!K12-'Data &amp; Sources'!L12)/'Data &amp; Sources'!L12</x:f>
        <x:v>0.10317460317460317</x:v>
      </x:c>
      <x:c r="N13" s="98" t="n">
        <x:f>'Data &amp; Sources'!Y12</x:f>
        <x:v>0.12</x:v>
      </x:c>
      <x:c r="O13" s="98" t="n">
        <x:f>'Data &amp; Sources'!AA12</x:f>
        <x:v>0.152</x:v>
      </x:c>
      <x:c r="P13" s="88" t="n">
        <x:f>RANK(D13,$D$7:$D$16,0)</x:f>
        <x:v>6</x:v>
      </x:c>
      <x:c r="Q13" s="88" t="n">
        <x:f>RANK(E13,$E$7:$E$16,0)</x:f>
        <x:v>5</x:v>
      </x:c>
      <x:c r="R13" s="88" t="n">
        <x:f>RANK(F13,$F$7:$F$16,0)</x:f>
        <x:v>9</x:v>
      </x:c>
      <x:c r="S13" s="88" t="n">
        <x:f>RANK(G13,$G$7:$G$16,1)</x:f>
        <x:v>6</x:v>
      </x:c>
      <x:c r="T13" s="88" t="n">
        <x:f>RANK(J13,$J$7:$J$16,1)</x:f>
        <x:v>8</x:v>
      </x:c>
      <x:c r="U13" s="88" t="n">
        <x:f>RANK(L13,$L$7:$L$16,0)</x:f>
        <x:v>6</x:v>
      </x:c>
      <x:c r="V13" s="88"/>
      <x:c r="W13" s="88"/>
      <x:c r="X13" s="88"/>
      <x:c r="Y13" s="88"/>
      <x:c r="Z13" s="88"/>
    </x:row>
    <x:row r="14">
      <x:c r="A14" s="97" t="n">
        <x:f>RANK(D14,$D$7:$D$16,0)</x:f>
        <x:v>7</x:v>
      </x:c>
      <x:c r="B14" s="88" t="str">
        <x:f>'Data &amp; Sources'!A13</x:f>
        <x:v>Punjab National Bank</x:v>
      </x:c>
      <x:c r="C14" s="88" t="str">
        <x:f>'Data &amp; Sources'!B13</x:f>
        <x:v>PSU</x:v>
      </x:c>
      <x:c r="D14" s="98" t="n">
        <x:f>'Data &amp; Sources'!F13/AVERAGE('Data &amp; Sources'!G13:'Data &amp; Sources'!H13)</x:f>
        <x:v>0.009329446064139942</x:v>
      </x:c>
      <x:c r="E14" s="98" t="n">
        <x:f>'Data &amp; Sources'!F13/AVERAGE('Data &amp; Sources'!O13:'Data &amp; Sources'!P13)</x:f>
        <x:v>0.17391304347826086</x:v>
      </x:c>
      <x:c r="F14" s="98" t="n">
        <x:f>'Data &amp; Sources'!C13/AVERAGE('Data &amp; Sources'!I13+'Data &amp; Sources'!Q13,'Data &amp; Sources'!J13+'Data &amp; Sources'!R13)</x:f>
        <x:v>0.028532608695652172</x:v>
      </x:c>
      <x:c r="G14" s="98" t="n">
        <x:f>'Data &amp; Sources'!W13/'Data &amp; Sources'!E13</x:f>
        <x:v>0.49</x:v>
      </x:c>
      <x:c r="H14" s="98" t="n">
        <x:f>'Data &amp; Sources'!M13/'Data &amp; Sources'!K13</x:f>
        <x:v>0.3452702702702703</x:v>
      </x:c>
      <x:c r="I14" s="98" t="n">
        <x:f>'Data &amp; Sources'!AC13/AVERAGE('Data &amp; Sources'!I13,'Data &amp; Sources'!J13)</x:f>
        <x:v>0.0035238095238095237</x:v>
      </x:c>
      <x:c r="J14" s="98" t="n">
        <x:f>'Data &amp; Sources'!S13</x:f>
        <x:v>0.0395</x:v>
      </x:c>
      <x:c r="K14" s="98" t="n">
        <x:f>'Data &amp; Sources'!T13</x:f>
        <x:v>0.004</x:v>
      </x:c>
      <x:c r="L14" s="98" t="n">
        <x:f>('Data &amp; Sources'!I13-'Data &amp; Sources'!J13)/'Data &amp; Sources'!J13</x:f>
        <x:v>0.12121212121212122</x:v>
      </x:c>
      <x:c r="M14" s="98" t="n">
        <x:f>('Data &amp; Sources'!K13-'Data &amp; Sources'!L13)/'Data &amp; Sources'!L13</x:f>
        <x:v>0.08823529411764706</x:v>
      </x:c>
      <x:c r="N14" s="98" t="n">
        <x:f>'Data &amp; Sources'!Y13</x:f>
        <x:v>0.118</x:v>
      </x:c>
      <x:c r="O14" s="98" t="n">
        <x:f>'Data &amp; Sources'!AA13</x:f>
        <x:v>0.171</x:v>
      </x:c>
      <x:c r="P14" s="88" t="n">
        <x:f>RANK(D14,$D$7:$D$16,0)</x:f>
        <x:v>7</x:v>
      </x:c>
      <x:c r="Q14" s="88" t="n">
        <x:f>RANK(E14,$E$7:$E$16,0)</x:f>
        <x:v>4</x:v>
      </x:c>
      <x:c r="R14" s="88" t="n">
        <x:f>RANK(F14,$F$7:$F$16,0)</x:f>
        <x:v>10</x:v>
      </x:c>
      <x:c r="S14" s="88" t="n">
        <x:f>RANK(G14,$G$7:$G$16,1)</x:f>
        <x:v>7</x:v>
      </x:c>
      <x:c r="T14" s="88" t="n">
        <x:f>RANK(J14,$J$7:$J$16,1)</x:f>
        <x:v>10</x:v>
      </x:c>
      <x:c r="U14" s="88" t="n">
        <x:f>RANK(L14,$L$7:$L$16,0)</x:f>
        <x:v>7</x:v>
      </x:c>
      <x:c r="V14" s="88"/>
      <x:c r="W14" s="88"/>
      <x:c r="X14" s="88"/>
      <x:c r="Y14" s="88"/>
      <x:c r="Z14" s="88"/>
    </x:row>
    <x:row r="15">
      <x:c r="A15" s="97" t="n">
        <x:f>RANK(D15,$D$7:$D$16,0)</x:f>
        <x:v>4</x:v>
      </x:c>
      <x:c r="B15" s="88" t="str">
        <x:f>'Data &amp; Sources'!A14</x:f>
        <x:v>Federal Bank</x:v>
      </x:c>
      <x:c r="C15" s="88" t="str">
        <x:f>'Data &amp; Sources'!B14</x:f>
        <x:v>Private</x:v>
      </x:c>
      <x:c r="D15" s="98" t="n">
        <x:f>'Data &amp; Sources'!F14/AVERAGE('Data &amp; Sources'!G14:'Data &amp; Sources'!H14)</x:f>
        <x:v>0.014592720970537262</x:v>
      </x:c>
      <x:c r="E15" s="98" t="n">
        <x:f>'Data &amp; Sources'!F14/AVERAGE('Data &amp; Sources'!O14:'Data &amp; Sources'!P14)</x:f>
        <x:v>0.16509803921568628</x:v>
      </x:c>
      <x:c r="F15" s="98" t="n">
        <x:f>'Data &amp; Sources'!C14/AVERAGE('Data &amp; Sources'!I14+'Data &amp; Sources'!Q14,'Data &amp; Sources'!J14+'Data &amp; Sources'!R14)</x:f>
        <x:v>0.0316622691292876</x:v>
      </x:c>
      <x:c r="G15" s="98" t="n">
        <x:f>'Data &amp; Sources'!W14/'Data &amp; Sources'!E14</x:f>
        <x:v>0.6474820143884892</x:v>
      </x:c>
      <x:c r="H15" s="98" t="n">
        <x:f>'Data &amp; Sources'!M14/'Data &amp; Sources'!K14</x:f>
        <x:v>0.31636363636363635</x:v>
      </x:c>
      <x:c r="I15" s="98" t="n">
        <x:f>'Data &amp; Sources'!AC14/AVERAGE('Data &amp; Sources'!I14,'Data &amp; Sources'!J14)</x:f>
        <x:v>0.016091954022988506</x:v>
      </x:c>
      <x:c r="J15" s="98" t="n">
        <x:f>'Data &amp; Sources'!S14</x:f>
        <x:v>0.0184</x:v>
      </x:c>
      <x:c r="K15" s="98" t="n">
        <x:f>'Data &amp; Sources'!T14</x:f>
        <x:v>0.0048</x:v>
      </x:c>
      <x:c r="L15" s="98" t="n">
        <x:f>('Data &amp; Sources'!I14-'Data &amp; Sources'!J14)/'Data &amp; Sources'!J14</x:f>
        <x:v>0.14285714285714285</x:v>
      </x:c>
      <x:c r="M15" s="98" t="n">
        <x:f>('Data &amp; Sources'!K14-'Data &amp; Sources'!L14)/'Data &amp; Sources'!L14</x:f>
        <x:v>0.12244897959183673</x:v>
      </x:c>
      <x:c r="N15" s="98" t="n">
        <x:f>'Data &amp; Sources'!Y14</x:f>
        <x:v>0.154</x:v>
      </x:c>
      <x:c r="O15" s="98" t="n">
        <x:f>'Data &amp; Sources'!AA14</x:f>
        <x:v>0.172</x:v>
      </x:c>
      <x:c r="P15" s="88" t="n">
        <x:f>RANK(D15,$D$7:$D$16,0)</x:f>
        <x:v>4</x:v>
      </x:c>
      <x:c r="Q15" s="88" t="n">
        <x:f>RANK(E15,$E$7:$E$16,0)</x:f>
        <x:v>6</x:v>
      </x:c>
      <x:c r="R15" s="88" t="n">
        <x:f>RANK(F15,$F$7:$F$16,0)</x:f>
        <x:v>7</x:v>
      </x:c>
      <x:c r="S15" s="88" t="n">
        <x:f>RANK(G15,$G$7:$G$16,1)</x:f>
        <x:v>8</x:v>
      </x:c>
      <x:c r="T15" s="88" t="n">
        <x:f>RANK(J15,$J$7:$J$16,1)</x:f>
        <x:v>6</x:v>
      </x:c>
      <x:c r="U15" s="88" t="n">
        <x:f>RANK(L15,$L$7:$L$16,0)</x:f>
        <x:v>4</x:v>
      </x:c>
      <x:c r="V15" s="88"/>
      <x:c r="W15" s="88"/>
      <x:c r="X15" s="88"/>
      <x:c r="Y15" s="88"/>
      <x:c r="Z15" s="88"/>
    </x:row>
    <x:row r="16">
      <x:c r="A16" s="97" t="n">
        <x:f>RANK(D16,$D$7:$D$16,0)</x:f>
        <x:v>10</x:v>
      </x:c>
      <x:c r="B16" s="88" t="str">
        <x:f>'Data &amp; Sources'!A15</x:f>
        <x:v>IDFC FIRST Bank</x:v>
      </x:c>
      <x:c r="C16" s="88" t="str">
        <x:f>'Data &amp; Sources'!B15</x:f>
        <x:v>Private</x:v>
      </x:c>
      <x:c r="D16" s="98" t="n">
        <x:f>'Data &amp; Sources'!F15/AVERAGE('Data &amp; Sources'!G15:'Data &amp; Sources'!H15)</x:f>
        <x:v>0.003443496801705757</x:v>
      </x:c>
      <x:c r="E16" s="98" t="n">
        <x:f>'Data &amp; Sources'!F15/AVERAGE('Data &amp; Sources'!O15:'Data &amp; Sources'!P15)</x:f>
        <x:v>0.03822485207100592</x:v>
      </x:c>
      <x:c r="F16" s="98" t="n">
        <x:f>'Data &amp; Sources'!C15/AVERAGE('Data &amp; Sources'!I15+'Data &amp; Sources'!Q15,'Data &amp; Sources'!J15+'Data &amp; Sources'!R15)</x:f>
        <x:v>0.04048257372654156</x:v>
      </x:c>
      <x:c r="G16" s="98" t="n">
        <x:f>'Data &amp; Sources'!W15/'Data &amp; Sources'!E15</x:f>
        <x:v>0.7551020408163265</x:v>
      </x:c>
      <x:c r="H16" s="98" t="n">
        <x:f>'Data &amp; Sources'!M15/'Data &amp; Sources'!K15</x:f>
        <x:v>0.48031496062992124</x:v>
      </x:c>
      <x:c r="I16" s="98" t="n">
        <x:f>'Data &amp; Sources'!AC15/AVERAGE('Data &amp; Sources'!I15,'Data &amp; Sources'!J15)</x:f>
        <x:v>0.04081632653061224</x:v>
      </x:c>
      <x:c r="J16" s="98" t="n">
        <x:f>'Data &amp; Sources'!S15</x:f>
        <x:v>0.0187</x:v>
      </x:c>
      <x:c r="K16" s="98" t="n">
        <x:f>'Data &amp; Sources'!T15</x:f>
        <x:v>0.0053</x:v>
      </x:c>
      <x:c r="L16" s="98" t="n">
        <x:f>('Data &amp; Sources'!I15-'Data &amp; Sources'!J15)/'Data &amp; Sources'!J15</x:f>
        <x:v>0.205</x:v>
      </x:c>
      <x:c r="M16" s="98" t="n">
        <x:f>('Data &amp; Sources'!K15-'Data &amp; Sources'!L15)/'Data &amp; Sources'!L15</x:f>
        <x:v>0.23300970873786409</x:v>
      </x:c>
      <x:c r="N16" s="98" t="n">
        <x:f>'Data &amp; Sources'!Y15</x:f>
        <x:v>0.137</x:v>
      </x:c>
      <x:c r="O16" s="98" t="n">
        <x:f>'Data &amp; Sources'!AA15</x:f>
        <x:v>0.161</x:v>
      </x:c>
      <x:c r="P16" s="88" t="n">
        <x:f>RANK(D16,$D$7:$D$16,0)</x:f>
        <x:v>10</x:v>
      </x:c>
      <x:c r="Q16" s="88" t="n">
        <x:f>RANK(E16,$E$7:$E$16,0)</x:f>
        <x:v>9</x:v>
      </x:c>
      <x:c r="R16" s="88" t="n">
        <x:f>RANK(F16,$F$7:$F$16,0)</x:f>
        <x:v>4</x:v>
      </x:c>
      <x:c r="S16" s="88" t="n">
        <x:f>RANK(G16,$G$7:$G$16,1)</x:f>
        <x:v>10</x:v>
      </x:c>
      <x:c r="T16" s="88" t="n">
        <x:f>RANK(J16,$J$7:$J$16,1)</x:f>
        <x:v>7</x:v>
      </x:c>
      <x:c r="U16" s="88" t="n">
        <x:f>RANK(L16,$L$7:$L$16,0)</x:f>
        <x:v>1</x:v>
      </x:c>
      <x:c r="V16" s="88"/>
      <x:c r="W16" s="88"/>
      <x:c r="X16" s="88"/>
      <x:c r="Y16" s="88"/>
      <x:c r="Z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91" t="str">
        <x:v>Metric notes: NIM uses advances + investments as a proxy for average interest-earning assets. Credit cost uses provisions / average gross advances.</x:v>
      </x:c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mergeCells>
    <x:mergeCell ref="A1:O1"/>
    <x:mergeCell ref="A3:O3"/>
    <x:mergeCell ref="A18:U18"/>
  </x:mergeCells>
  <x:conditionalFormatting sqref="D7:O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9fd412d7a7949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3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5" t="str">
        <x:v>Peer Benchmark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9" t="str">
        <x:v>Choose a bank to compare its KPI profile with the peer median and top quartile.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99" t="str">
        <x:v>Selected bank</x:v>
      </x:c>
      <x:c r="B5" s="100" t="str"/>
      <x:c r="C5" s="100" t="str"/>
      <x:c r="D5" s="101" t="str">
        <x:v>HDFC Bank</x:v>
      </x:c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88"/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40" t="str">
        <x:v>Metric</x:v>
      </x:c>
      <x:c r="B7" s="41" t="str">
        <x:v>Selected bank</x:v>
      </x:c>
      <x:c r="C7" s="41" t="str">
        <x:v>Peer median</x:v>
      </x:c>
      <x:c r="D7" s="41" t="str">
        <x:v>Top quartile</x:v>
      </x:c>
      <x:c r="E7" s="42" t="str">
        <x:v>Position</x:v>
      </x:c>
      <x:c r="F7" s="88"/>
      <x:c r="G7" s="102" t="str">
        <x:v>Interpretation</x:v>
      </x:c>
      <x:c r="H7" s="102" t="str"/>
      <x:c r="I7" s="102" t="str"/>
      <x:c r="J7" s="102" t="str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2" t="str">
        <x:v>ROA</x:v>
      </x:c>
      <x:c r="B8" s="98" t="n">
        <x:f>INDEX('Bank Comparison'!$D$7:$D$16,MATCH($D$5,'Bank Comparison'!$B$7:$B$16,0))</x:f>
        <x:v>0.017643961226093793</x:v>
      </x:c>
      <x:c r="C8" s="98" t="n">
        <x:f>MEDIAN('Bank Comparison'!$D$7:$D$16)</x:f>
        <x:v>0.011048089975558721</x:v>
      </x:c>
      <x:c r="D8" s="98" t="n">
        <x:f>QUARTILE.INC('Bank Comparison'!$D$7:$D$16,3)</x:f>
        <x:v>0.0168811511622</x:v>
      </x:c>
      <x:c r="E8" s="103" t="str">
        <x:f>IF(B8&gt;=D8,"Top quartile",IF(B8&gt;=C8,"Above median","Below median"))</x:f>
        <x:v>Top quartile</x:v>
      </x:c>
      <x:c r="F8" s="88"/>
      <x:c r="G8" s="104" t="str">
        <x:f>$D$5&amp;" is compared using FY2025 reported data. Use the selected-bank column against the peer median and top quartile to prioritize operating actions."</x:f>
        <x:v>HDFC Bank is compared using FY2025 reported data. Use the selected-bank column against the peer median and top quartile to prioritize operating actions.</x:v>
      </x:c>
      <x:c r="H8" s="104"/>
      <x:c r="I8" s="104"/>
      <x:c r="J8" s="104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2" t="str">
        <x:v>ROE</x:v>
      </x:c>
      <x:c r="B9" s="98" t="n">
        <x:f>INDEX('Bank Comparison'!$E$7:$E$16,MATCH($D$5,'Bank Comparison'!$B$7:$B$16,0))</x:f>
        <x:v>0.18177327935222673</x:v>
      </x:c>
      <x:c r="C9" s="98" t="n">
        <x:f>MEDIAN('Bank Comparison'!$E$7:$E$16)</x:f>
        <x:v>0.16694988167680866</x:v>
      </x:c>
      <x:c r="D9" s="98" t="n">
        <x:f>QUARTILE.INC('Bank Comparison'!$E$7:$E$16,3)</x:f>
        <x:v>0.17980822038374</x:v>
      </x:c>
      <x:c r="E9" s="103" t="str">
        <x:f>IF(B9&gt;=D9,"Top quartile",IF(B9&gt;=C9,"Above median","Below median"))</x:f>
        <x:v>Top quartile</x:v>
      </x:c>
      <x:c r="F9" s="88"/>
      <x:c r="G9" s="104"/>
      <x:c r="H9" s="104"/>
      <x:c r="I9" s="104"/>
      <x:c r="J9" s="104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92" t="str">
        <x:v>NIM</x:v>
      </x:c>
      <x:c r="B10" s="98" t="n">
        <x:f>INDEX('Bank Comparison'!$F$7:$F$16,MATCH($D$5,'Bank Comparison'!$B$7:$B$16,0))</x:f>
        <x:v>0.0360926811327694</x:v>
      </x:c>
      <x:c r="C10" s="98" t="n">
        <x:f>MEDIAN('Bank Comparison'!$F$7:$F$16)</x:f>
        <x:v>0.03663370116118024</x:v>
      </x:c>
      <x:c r="D10" s="98" t="n">
        <x:f>QUARTILE.INC('Bank Comparison'!$F$7:$F$16,3)</x:f>
        <x:v>0.04264890653544</x:v>
      </x:c>
      <x:c r="E10" s="103" t="str">
        <x:f>IF(B10&gt;=D10,"Top quartile",IF(B10&gt;=C10,"Above median","Below median"))</x:f>
        <x:v>Below median</x:v>
      </x:c>
      <x:c r="F10" s="88"/>
      <x:c r="G10" s="104"/>
      <x:c r="H10" s="104"/>
      <x:c r="I10" s="104"/>
      <x:c r="J10" s="104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92" t="str">
        <x:v>Cost / income</x:v>
      </x:c>
      <x:c r="B11" s="98" t="n">
        <x:f>INDEX('Bank Comparison'!$G$7:$G$16,MATCH($D$5,'Bank Comparison'!$B$7:$B$16,0))</x:f>
        <x:v>0.3190201896782452</x:v>
      </x:c>
      <x:c r="C11" s="98" t="n">
        <x:f>MEDIAN('Bank Comparison'!$G$7:$G$16)</x:f>
        <x:v>0.4566526342645746</x:v>
      </x:c>
      <x:c r="D11" s="98" t="n">
        <x:f>QUARTILE.INC('Bank Comparison'!$G$7:$G$16,3)</x:f>
        <x:v>0.60811151079137</x:v>
      </x:c>
      <x:c r="E11" s="103" t="str">
        <x:f>IF(B11&gt;=D11,"Top quartile",IF(B11&gt;=C11,"Above median","Below median"))</x:f>
        <x:v>Below median</x:v>
      </x:c>
      <x:c r="F11" s="88"/>
      <x:c r="G11" s="104"/>
      <x:c r="H11" s="104"/>
      <x:c r="I11" s="104"/>
      <x:c r="J11" s="104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92" t="str">
        <x:v>CASA ratio</x:v>
      </x:c>
      <x:c r="B12" s="98" t="n">
        <x:f>INDEX('Bank Comparison'!$H$7:$H$16,MATCH($D$5,'Bank Comparison'!$B$7:$B$16,0))</x:f>
        <x:v>0.33874538745387456</x:v>
      </x:c>
      <x:c r="C12" s="98" t="n">
        <x:f>MEDIAN('Bank Comparison'!$H$7:$H$16)</x:f>
        <x:v>0.37954625167744294</x:v>
      </x:c>
      <x:c r="D12" s="98" t="n">
        <x:f>QUARTILE.INC('Bank Comparison'!$H$7:$H$16,3)</x:f>
        <x:v>0.41324358619812</x:v>
      </x:c>
      <x:c r="E12" s="103" t="str">
        <x:f>IF(B12&gt;=D12,"Top quartile",IF(B12&gt;=C12,"Above median","Below median"))</x:f>
        <x:v>Below median</x:v>
      </x:c>
      <x:c r="F12" s="88"/>
      <x:c r="G12" s="104"/>
      <x:c r="H12" s="104"/>
      <x:c r="I12" s="104"/>
      <x:c r="J12" s="104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92" t="str">
        <x:v>Credit cost</x:v>
      </x:c>
      <x:c r="B13" s="98" t="n">
        <x:f>INDEX('Bank Comparison'!$I$7:$I$16,MATCH($D$5,'Bank Comparison'!$B$7:$B$16,0))</x:f>
        <x:v>0.0024108097598911247</x:v>
      </x:c>
      <x:c r="C13" s="98" t="n">
        <x:f>MEDIAN('Bank Comparison'!$I$7:$I$16)</x:f>
        <x:v>0.003843123036016437</x:v>
      </x:c>
      <x:c r="D13" s="98" t="n">
        <x:f>QUARTILE.INC('Bank Comparison'!$I$7:$I$16,3)</x:f>
        <x:v>0.01370938546475</x:v>
      </x:c>
      <x:c r="E13" s="103" t="str">
        <x:f>IF(B13&gt;=D13,"Top quartile",IF(B13&gt;=C13,"Above median","Below median"))</x:f>
        <x:v>Below median</x:v>
      </x:c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92" t="str">
        <x:v>GNPA</x:v>
      </x:c>
      <x:c r="B14" s="98" t="n">
        <x:f>INDEX('Bank Comparison'!$J$7:$J$16,MATCH($D$5,'Bank Comparison'!$B$7:$B$16,0))</x:f>
        <x:v>0.0133</x:v>
      </x:c>
      <x:c r="C14" s="98" t="n">
        <x:f>MEDIAN('Bank Comparison'!$J$7:$J$16)</x:f>
        <x:v>0.0183</x:v>
      </x:c>
      <x:c r="D14" s="98" t="n">
        <x:f>QUARTILE.INC('Bank Comparison'!$J$7:$J$16,3)</x:f>
        <x:v>0.021625</x:v>
      </x:c>
      <x:c r="E14" s="103" t="str">
        <x:f>IF(B14&gt;=D14,"Top quartile",IF(B14&gt;=C14,"Above median","Below median"))</x:f>
        <x:v>Below median</x:v>
      </x:c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92" t="str">
        <x:v>NNPA</x:v>
      </x:c>
      <x:c r="B15" s="98" t="n">
        <x:f>INDEX('Bank Comparison'!$K$7:$K$16,MATCH($D$5,'Bank Comparison'!$B$7:$B$16,0))</x:f>
        <x:v>0.0033</x:v>
      </x:c>
      <x:c r="C15" s="98" t="n">
        <x:f>MEDIAN('Bank Comparison'!$K$7:$K$16)</x:f>
        <x:v>0.00435</x:v>
      </x:c>
      <x:c r="D15" s="98" t="n">
        <x:f>QUARTILE.INC('Bank Comparison'!$K$7:$K$16,3)</x:f>
        <x:v>0.005175</x:v>
      </x:c>
      <x:c r="E15" s="103" t="str">
        <x:f>IF(B15&gt;=D15,"Top quartile",IF(B15&gt;=C15,"Above median","Below median"))</x:f>
        <x:v>Below median</x:v>
      </x:c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92" t="str">
        <x:v>Loan growth</x:v>
      </x:c>
      <x:c r="B16" s="98" t="n">
        <x:f>INDEX('Bank Comparison'!$L$7:$L$16,MATCH($D$5,'Bank Comparison'!$B$7:$B$16,0))</x:f>
        <x:v>0.0574</x:v>
      </x:c>
      <x:c r="C16" s="98" t="n">
        <x:f>MEDIAN('Bank Comparison'!$L$7:$L$16)</x:f>
        <x:v>0.12797455430770438</x:v>
      </x:c>
      <x:c r="D16" s="98" t="n">
        <x:f>QUARTILE.INC('Bank Comparison'!$L$7:$L$16,3)</x:f>
        <x:v>0.1468253968254</x:v>
      </x:c>
      <x:c r="E16" s="103" t="str">
        <x:f>IF(B16&gt;=D16,"Top quartile",IF(B16&gt;=C16,"Above median","Below median"))</x:f>
        <x:v>Below median</x:v>
      </x:c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92" t="str">
        <x:v>Deposit growth</x:v>
      </x:c>
      <x:c r="B17" s="98" t="n">
        <x:f>INDEX('Bank Comparison'!$M$7:$M$16,MATCH($D$5,'Bank Comparison'!$B$7:$B$16,0))</x:f>
        <x:v>0.13865546218487396</x:v>
      </x:c>
      <x:c r="C17" s="98" t="n">
        <x:f>MEDIAN('Bank Comparison'!$M$7:$M$16)</x:f>
        <x:v>0.12174109496197003</x:v>
      </x:c>
      <x:c r="D17" s="98" t="n">
        <x:f>QUARTILE.INC('Bank Comparison'!$M$7:$M$16,3)</x:f>
        <x:v>0.12915139607814</x:v>
      </x:c>
      <x:c r="E17" s="103" t="str">
        <x:f>IF(B17&gt;=D17,"Top quartile",IF(B17&gt;=C17,"Above median","Below median"))</x:f>
        <x:v>Top quartile</x:v>
      </x:c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92" t="str">
        <x:v>CET1</x:v>
      </x:c>
      <x:c r="B18" s="98" t="n">
        <x:f>INDEX('Bank Comparison'!$N$7:$N$16,MATCH($D$5,'Bank Comparison'!$B$7:$B$16,0))</x:f>
        <x:v>0.16</x:v>
      </x:c>
      <x:c r="C18" s="98" t="n">
        <x:f>MEDIAN('Bank Comparison'!$N$7:$N$16)</x:f>
        <x:v>0.14600000000000002</x:v>
      </x:c>
      <x:c r="D18" s="98" t="n">
        <x:f>QUARTILE.INC('Bank Comparison'!$N$7:$N$16,3)</x:f>
        <x:v>0.1585</x:v>
      </x:c>
      <x:c r="E18" s="103" t="str">
        <x:f>IF(B18&gt;=D18,"Top quartile",IF(B18&gt;=C18,"Above median","Below median"))</x:f>
        <x:v>Top quartile</x:v>
      </x:c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94" t="str">
        <x:v>CAR</x:v>
      </x:c>
      <x:c r="B19" s="105" t="n">
        <x:f>INDEX('Bank Comparison'!$O$7:$O$16,MATCH($D$5,'Bank Comparison'!$B$7:$B$16,0))</x:f>
        <x:v>0.198</x:v>
      </x:c>
      <x:c r="C19" s="105" t="n">
        <x:f>MEDIAN('Bank Comparison'!$O$7:$O$16)</x:f>
        <x:v>0.17149999999999999</x:v>
      </x:c>
      <x:c r="D19" s="105" t="n">
        <x:f>QUARTILE.INC('Bank Comparison'!$O$7:$O$16,3)</x:f>
        <x:v>0.18025</x:v>
      </x:c>
      <x:c r="E19" s="106" t="str">
        <x:f>IF(B19&gt;=D19,"Top quartile",IF(B19&gt;=C19,"Above median","Below median"))</x:f>
        <x:v>Top quartile</x:v>
      </x:c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mergeCells>
    <x:mergeCell ref="A1:J1"/>
    <x:mergeCell ref="A3:J3"/>
    <x:mergeCell ref="G8:J12"/>
  </x:mergeCells>
  <x:conditionalFormatting sqref="E8:E19">
    <x:cfRule type="containsText" dxfId="0" priority="1" operator="containsText" text="Below"/>
    <x:cfRule type="containsText" dxfId="1" priority="2" operator="containsText" text="Top"/>
  </x:conditionalFormatting>
  <x:dataValidations count="1">
    <x:dataValidation type="list" sqref="D5">
      <x:formula1>'Data &amp; Sources'!$A$6:$A$15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3" hidden="0" customWidth="1"/>
    <x:col min="5" max="5" width="13" hidden="0" customWidth="1"/>
    <x:col min="6" max="6" width="34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</x:cols>
  <x:sheetData>
    <x:row r="1" ht="30" customHeight="1">
      <x:c r="A1" s="5" t="str">
        <x:v>Opportunity Analysis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</x:row>
    <x:row r="3">
      <x:c r="A3" s="89" t="str">
        <x:v>Action-oriented comparison of the selected bank versus the peer set.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</x:row>
    <x:row r="5">
      <x:c r="A5" s="99" t="str">
        <x:v>Selected bank</x:v>
      </x:c>
      <x:c r="B5" s="100" t="str"/>
      <x:c r="C5" s="100" t="str"/>
      <x:c r="D5" s="101" t="str">
        <x:f>'Peer Benchmark'!D5</x:f>
        <x:v>HDFC Bank</x:v>
      </x:c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  <x:c r="X5" s="88"/>
      <x:c r="Y5" s="88"/>
      <x:c r="Z5" s="88"/>
    </x:row>
    <x:row r="6">
      <x:c r="A6" s="88"/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</x:row>
    <x:row r="7">
      <x:c r="A7" s="40" t="str">
        <x:v>Metric</x:v>
      </x:c>
      <x:c r="B7" s="41" t="str">
        <x:v>Selected</x:v>
      </x:c>
      <x:c r="C7" s="41" t="str">
        <x:v>Peer median</x:v>
      </x:c>
      <x:c r="D7" s="41" t="str">
        <x:v>Gap (bps)</x:v>
      </x:c>
      <x:c r="E7" s="41" t="str">
        <x:v>Assessment</x:v>
      </x:c>
      <x:c r="F7" s="42" t="str">
        <x:v>Action focus</x:v>
      </x:c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</x:row>
    <x:row r="8">
      <x:c r="A8" s="92" t="str">
        <x:v>Cost / income</x:v>
      </x:c>
      <x:c r="B8" s="98" t="n">
        <x:f>'Peer Benchmark'!B11</x:f>
        <x:v>0.3190201896782452</x:v>
      </x:c>
      <x:c r="C8" s="98" t="n">
        <x:f>'Peer Benchmark'!C11</x:f>
        <x:v>0.4566526342645746</x:v>
      </x:c>
      <x:c r="D8" s="107" t="n">
        <x:f>(B8-C8)*10000</x:f>
        <x:v>-1376.324445863294</x:v>
      </x:c>
      <x:c r="E8" s="88" t="str">
        <x:f>IF(B8&gt;C8,"Gap","Advantage")</x:f>
        <x:v>Advantage</x:v>
      </x:c>
      <x:c r="F8" s="103" t="str">
        <x:v>Expense discipline and operating leverage</x:v>
      </x:c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  <x:c r="X8" s="88"/>
      <x:c r="Y8" s="88"/>
      <x:c r="Z8" s="88"/>
    </x:row>
    <x:row r="9">
      <x:c r="A9" s="92" t="str">
        <x:v>GNPA</x:v>
      </x:c>
      <x:c r="B9" s="98" t="n">
        <x:f>'Peer Benchmark'!B14</x:f>
        <x:v>0.0133</x:v>
      </x:c>
      <x:c r="C9" s="98" t="n">
        <x:f>'Peer Benchmark'!C14</x:f>
        <x:v>0.0183</x:v>
      </x:c>
      <x:c r="D9" s="107" t="n">
        <x:f>(B9-C9)*10000</x:f>
        <x:v>-50.00000000000001</x:v>
      </x:c>
      <x:c r="E9" s="88" t="str">
        <x:f>IF(B9&gt;C9,"Gap","Advantage")</x:f>
        <x:v>Advantage</x:v>
      </x:c>
      <x:c r="F9" s="103" t="str">
        <x:v>Collections and underwriting</x:v>
      </x:c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  <x:c r="X9" s="88"/>
      <x:c r="Y9" s="88"/>
      <x:c r="Z9" s="88"/>
    </x:row>
    <x:row r="10">
      <x:c r="A10" s="92" t="str">
        <x:v>Credit cost</x:v>
      </x:c>
      <x:c r="B10" s="98" t="n">
        <x:f>'Peer Benchmark'!B13</x:f>
        <x:v>0.0024108097598911247</x:v>
      </x:c>
      <x:c r="C10" s="98" t="n">
        <x:f>'Peer Benchmark'!C13</x:f>
        <x:v>0.003843123036016437</x:v>
      </x:c>
      <x:c r="D10" s="107" t="n">
        <x:f>(B10-C10)*10000</x:f>
        <x:v>-14.323132761253124</x:v>
      </x:c>
      <x:c r="E10" s="88" t="str">
        <x:f>IF(B10&gt;C10,"Gap","Advantage")</x:f>
        <x:v>Advantage</x:v>
      </x:c>
      <x:c r="F10" s="103" t="str">
        <x:v>Provisioning and portfolio mix</x:v>
      </x:c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</x:row>
    <x:row r="11">
      <x:c r="A11" s="92" t="str">
        <x:v>ROA</x:v>
      </x:c>
      <x:c r="B11" s="98" t="n">
        <x:f>'Peer Benchmark'!B8</x:f>
        <x:v>0.017643961226093793</x:v>
      </x:c>
      <x:c r="C11" s="98" t="n">
        <x:f>'Peer Benchmark'!C8</x:f>
        <x:v>0.011048089975558721</x:v>
      </x:c>
      <x:c r="D11" s="107" t="n">
        <x:f>(B11-C11)*10000</x:f>
        <x:v>65.95871250535072</x:v>
      </x:c>
      <x:c r="E11" s="88" t="str">
        <x:f>IF(B11&lt;C11,"Gap","Advantage")</x:f>
        <x:v>Advantage</x:v>
      </x:c>
      <x:c r="F11" s="103" t="str">
        <x:v>Asset yield and earnings mix</x:v>
      </x:c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</x:row>
    <x:row r="12">
      <x:c r="A12" s="92" t="str">
        <x:v>NIM</x:v>
      </x:c>
      <x:c r="B12" s="98" t="n">
        <x:f>'Peer Benchmark'!B10</x:f>
        <x:v>0.0360926811327694</x:v>
      </x:c>
      <x:c r="C12" s="98" t="n">
        <x:f>'Peer Benchmark'!C10</x:f>
        <x:v>0.03663370116118024</x:v>
      </x:c>
      <x:c r="D12" s="107" t="n">
        <x:f>(B12-C12)*10000</x:f>
        <x:v>-5.410200284108393</x:v>
      </x:c>
      <x:c r="E12" s="88" t="str">
        <x:f>IF(B12&lt;C12,"Gap","Advantage")</x:f>
        <x:v>Gap</x:v>
      </x:c>
      <x:c r="F12" s="103" t="str">
        <x:v>Funding mix and asset repricing</x:v>
      </x:c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</x:row>
    <x:row r="13">
      <x:c r="A13" s="94" t="str">
        <x:v>CASA ratio</x:v>
      </x:c>
      <x:c r="B13" s="105" t="n">
        <x:f>'Peer Benchmark'!B12</x:f>
        <x:v>0.33874538745387456</x:v>
      </x:c>
      <x:c r="C13" s="105" t="n">
        <x:f>'Peer Benchmark'!C12</x:f>
        <x:v>0.37954625167744294</x:v>
      </x:c>
      <x:c r="D13" s="108" t="n">
        <x:f>(B13-C13)*10000</x:f>
        <x:v>-408.0086422356838</x:v>
      </x:c>
      <x:c r="E13" s="95" t="str">
        <x:f>IF(B13&lt;C13,"Gap","Advantage")</x:f>
        <x:v>Gap</x:v>
      </x:c>
      <x:c r="F13" s="106" t="str">
        <x:v>Low-cost deposit mobilisation</x:v>
      </x:c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  <x:c r="X13" s="88"/>
      <x:c r="Y13" s="88"/>
      <x:c r="Z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  <x:c r="X14" s="88"/>
      <x:c r="Y14" s="88"/>
      <x:c r="Z14" s="88"/>
    </x:row>
    <x:row r="15">
      <x:c r="A15" s="88"/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  <x:c r="X15" s="88"/>
      <x:c r="Y15" s="88"/>
      <x:c r="Z15" s="88"/>
    </x:row>
    <x:row r="16">
      <x:c r="A16" s="90" t="str">
        <x:v>Executive narrative</x:v>
      </x:c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</x:row>
    <x:row r="17">
      <x:c r="A17" s="109" t="str">
        <x:f>$D$5&amp;"'s cost-to-income ratio is "&amp;TEXT(B8,"0.0%")&amp;" versus peer median "&amp;TEXT(C8,"0.0%")&amp;", indicating a "&amp;TEXT(ABS(D8),"0")&amp;" bps "&amp;IF(E8="Gap","efficiency gap.","efficiency advantage.")&amp;CHAR(10)&amp;CHAR(10)&amp;"Asset-quality signal: GNPA is "&amp;TEXT(B9,"0.0%")&amp;" versus "&amp;TEXT(C9,"0.0%")&amp;" for the peer median ("&amp;TEXT(ABS(D9),"0")&amp;" bps). "&amp;IF(E9="Gap","Collections and portfolio underwriting merit attention.","Asset quality is comparatively supportive.")&amp;CHAR(10)&amp;CHAR(10)&amp;"Profitability signal: ROA is "&amp;TEXT(B11,"0.0%")&amp;" versus peer median "&amp;TEXT(C11,"0.0%")&amp;". Focus on the metrics tagged Gap above before pursuing growth acceleration."</x:f>
        <x:v>HDFC Bank's cost-to-income ratio is 31.9% versus peer median 45.7%, indicating a 1376 bps efficiency advantage.
Asset-quality signal: GNPA is 1.3% versus 1.8% for the peer median (50 bps). Asset quality is comparatively supportive.
Profitability signal: ROA is 1.8% versus peer median 1.1%. Focus on the metrics tagged Gap above before pursuing growth acceleration.</x:v>
      </x:c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1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</x:row>
    <x:row r="18">
      <x:c r="A18" s="112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13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</x:row>
    <x:row r="19">
      <x:c r="A19" s="112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13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</x:row>
    <x:row r="20">
      <x:c r="A20" s="112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13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</x:row>
    <x:row r="21">
      <x:c r="A21" s="114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6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</x:row>
  </x:sheetData>
  <x:mergeCells>
    <x:mergeCell ref="A1:K1"/>
    <x:mergeCell ref="A3:K3"/>
    <x:mergeCell ref="A16:K16"/>
    <x:mergeCell ref="A17:K21"/>
  </x:mergeCells>
  <x:conditionalFormatting sqref="E8:E13">
    <x:cfRule type="containsText" dxfId="2" priority="1" operator="containsText" text="Gap"/>
    <x:cfRule type="containsText" dxfId="3" priority="2" operator="containsText" text="Advantag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0" hidden="0" customWidth="1"/>
    <x:col min="20" max="20" width="10" hidden="0" customWidth="1"/>
    <x:col min="21" max="21" width="10" hidden="0" customWidth="1"/>
    <x:col min="22" max="22" width="12" hidden="0" customWidth="1"/>
    <x:col min="23" max="23" width="16" hidden="0" customWidth="1"/>
    <x:col min="24" max="24" width="12" hidden="0" customWidth="1"/>
    <x:col min="25" max="25" width="10" hidden="0" customWidth="1"/>
    <x:col min="26" max="26" width="11" hidden="0" customWidth="1"/>
    <x:col min="27" max="27" width="10" hidden="0" customWidth="1"/>
    <x:col min="28" max="28" width="14" hidden="0" customWidth="1"/>
    <x:col min="29" max="29" width="12" hidden="0" customWidth="1"/>
    <x:col min="30" max="30" width="12" hidden="0" customWidth="1"/>
    <x:col min="31" max="31" width="23" hidden="0" customWidth="1"/>
    <x:col min="32" max="32" width="50" hidden="0" customWidth="1"/>
  </x:cols>
  <x:sheetData>
    <x:row r="1" ht="30" customHeight="1">
      <x:c r="A1" s="5" t="str">
        <x:v>Indian Banking Benchmarking — FY2025 Source Data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  <x:c r="AA1" s="117"/>
      <x:c r="AB1" s="117"/>
      <x:c r="AC1" s="117"/>
      <x:c r="AD1" s="117"/>
      <x:c r="AE1" s="117"/>
      <x:c r="AF1" s="117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  <x:c r="X2" s="88"/>
      <x:c r="Y2" s="88"/>
      <x:c r="Z2" s="88"/>
      <x:c r="AA2" s="117"/>
      <x:c r="AB2" s="117"/>
      <x:c r="AC2" s="117"/>
      <x:c r="AD2" s="117"/>
      <x:c r="AE2" s="117"/>
      <x:c r="AF2" s="117"/>
    </x:row>
    <x:row r="3">
      <x:c r="A3" s="118" t="str">
        <x:v>All amounts in ₹ crore unless stated. Values compiled from FY25 annual reports / Q4 investor presentations; reported scope and definitions may vary by bank.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  <x:c r="X3" s="88"/>
      <x:c r="Y3" s="88"/>
      <x:c r="Z3" s="88"/>
      <x:c r="AA3" s="117"/>
      <x:c r="AB3" s="117"/>
      <x:c r="AC3" s="117"/>
      <x:c r="AD3" s="117"/>
      <x:c r="AE3" s="117"/>
      <x:c r="AF3" s="117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  <x:c r="X4" s="88"/>
      <x:c r="Y4" s="88"/>
      <x:c r="Z4" s="88"/>
      <x:c r="AA4" s="117"/>
      <x:c r="AB4" s="117"/>
      <x:c r="AC4" s="117"/>
      <x:c r="AD4" s="117"/>
      <x:c r="AE4" s="117"/>
      <x:c r="AF4" s="117"/>
    </x:row>
    <x:row r="5">
      <x:c r="A5" s="13" t="str">
        <x:v>Bank</x:v>
      </x:c>
      <x:c r="B5" s="13" t="str">
        <x:v>Ownership</x:v>
      </x:c>
      <x:c r="C5" s="13" t="str">
        <x:v>NII</x:v>
      </x:c>
      <x:c r="D5" s="13" t="str">
        <x:v>Non-interest income</x:v>
      </x:c>
      <x:c r="E5" s="13" t="str">
        <x:v>Operating income</x:v>
      </x:c>
      <x:c r="F5" s="13" t="str">
        <x:v>Net profit</x:v>
      </x:c>
      <x:c r="G5" s="13" t="str">
        <x:v>Assets FY25</x:v>
      </x:c>
      <x:c r="H5" s="13" t="str">
        <x:v>Assets FY24</x:v>
      </x:c>
      <x:c r="I5" s="13" t="str">
        <x:v>Advances FY25</x:v>
      </x:c>
      <x:c r="J5" s="13" t="str">
        <x:v>Advances FY24</x:v>
      </x:c>
      <x:c r="K5" s="13" t="str">
        <x:v>Deposits FY25</x:v>
      </x:c>
      <x:c r="L5" s="13" t="str">
        <x:v>Deposits FY24</x:v>
      </x:c>
      <x:c r="M5" s="13" t="str">
        <x:v>CASA FY25</x:v>
      </x:c>
      <x:c r="N5" s="13" t="str">
        <x:v>CASA FY24</x:v>
      </x:c>
      <x:c r="O5" s="13" t="str">
        <x:v>Equity FY25</x:v>
      </x:c>
      <x:c r="P5" s="13" t="str">
        <x:v>Equity FY24</x:v>
      </x:c>
      <x:c r="Q5" s="13" t="str">
        <x:v>Investments FY25</x:v>
      </x:c>
      <x:c r="R5" s="13" t="str">
        <x:v>Investments FY24</x:v>
      </x:c>
      <x:c r="S5" s="13" t="str">
        <x:v>GNPA %</x:v>
      </x:c>
      <x:c r="T5" s="13" t="str">
        <x:v>NNPA %</x:v>
      </x:c>
      <x:c r="U5" s="13" t="str">
        <x:v>PCR %</x:v>
      </x:c>
      <x:c r="V5" s="13" t="str">
        <x:v>Credit cost %</x:v>
      </x:c>
      <x:c r="W5" s="13" t="str">
        <x:v>Operating expense</x:v>
      </x:c>
      <x:c r="X5" s="13" t="str">
        <x:v>Employees</x:v>
      </x:c>
      <x:c r="Y5" s="13" t="str">
        <x:v>CET1 %</x:v>
      </x:c>
      <x:c r="Z5" s="13" t="str">
        <x:v>Tier 1 %</x:v>
      </x:c>
      <x:c r="AA5" s="13" t="str">
        <x:v>CAR %</x:v>
      </x:c>
      <x:c r="AB5" s="13" t="str">
        <x:v>Gross NPAs</x:v>
      </x:c>
      <x:c r="AC5" s="13" t="str">
        <x:v>Provisions</x:v>
      </x:c>
      <x:c r="AD5" s="117"/>
      <x:c r="AE5" s="13" t="str">
        <x:v>Bank</x:v>
      </x:c>
      <x:c r="AF5" s="13" t="str">
        <x:v>Primary FY25 source</x:v>
      </x:c>
    </x:row>
    <x:row r="6">
      <x:c r="A6" s="88" t="str">
        <x:v>HDFC Bank</x:v>
      </x:c>
      <x:c r="B6" s="88" t="str">
        <x:v>Private</x:v>
      </x:c>
      <x:c r="C6" s="119" t="n">
        <x:v>122670</x:v>
      </x:c>
      <x:c r="D6" s="119" t="n">
        <x:v>49200</x:v>
      </x:c>
      <x:c r="E6" s="119" t="n">
        <x:v>171870</x:v>
      </x:c>
      <x:c r="F6" s="119" t="n">
        <x:v>67347</x:v>
      </x:c>
      <x:c r="G6" s="119" t="n">
        <x:v>3942000</x:v>
      </x:c>
      <x:c r="H6" s="119" t="n">
        <x:v>3692000</x:v>
      </x:c>
      <x:c r="I6" s="119" t="n">
        <x:v>2643500</x:v>
      </x:c>
      <x:c r="J6" s="119" t="n">
        <x:v>2500000</x:v>
      </x:c>
      <x:c r="K6" s="119" t="n">
        <x:v>2710000</x:v>
      </x:c>
      <x:c r="L6" s="119" t="n">
        <x:v>2380000</x:v>
      </x:c>
      <x:c r="M6" s="119" t="n">
        <x:v>918000</x:v>
      </x:c>
      <x:c r="N6" s="119" t="n">
        <x:v>785000</x:v>
      </x:c>
      <x:c r="O6" s="119" t="n">
        <x:v>399000</x:v>
      </x:c>
      <x:c r="P6" s="119" t="n">
        <x:v>342000</x:v>
      </x:c>
      <x:c r="Q6" s="119" t="n">
        <x:v>894000</x:v>
      </x:c>
      <x:c r="R6" s="119" t="n">
        <x:v>760000</x:v>
      </x:c>
      <x:c r="S6" s="120" t="n">
        <x:v>0.0133</x:v>
      </x:c>
      <x:c r="T6" s="120" t="n">
        <x:v>0.0033</x:v>
      </x:c>
      <x:c r="U6" s="120" t="n">
        <x:v>0.741</x:v>
      </x:c>
      <x:c r="V6" s="120" t="n">
        <x:v>0.0041</x:v>
      </x:c>
      <x:c r="W6" s="119" t="n">
        <x:v>54830</x:v>
      </x:c>
      <x:c r="X6" s="119" t="n">
        <x:v>1859</x:v>
      </x:c>
      <x:c r="Y6" s="98" t="n">
        <x:v>0.16</x:v>
      </x:c>
      <x:c r="Z6" s="98" t="n">
        <x:v>0.165</x:v>
      </x:c>
      <x:c r="AA6" s="121" t="n">
        <x:v>0.198</x:v>
      </x:c>
      <x:c r="AB6" s="122" t="n">
        <x:v>24700</x:v>
      </x:c>
      <x:c r="AC6" s="122" t="n">
        <x:v>6200</x:v>
      </x:c>
      <x:c r="AD6" s="117"/>
      <x:c r="AE6" s="117" t="str">
        <x:v>HDFC Bank</x:v>
      </x:c>
      <x:c r="AF6" s="123" t="str">
        <x:v>https://www.hdfc.bank.in/about-us/investor-relations/financial-results</x:v>
      </x:c>
    </x:row>
    <x:row r="7">
      <x:c r="A7" s="88" t="str">
        <x:v>ICICI Bank</x:v>
      </x:c>
      <x:c r="B7" s="88" t="str">
        <x:v>Private</x:v>
      </x:c>
      <x:c r="C7" s="119" t="n">
        <x:v>83533</x:v>
      </x:c>
      <x:c r="D7" s="119" t="n">
        <x:v>38250</x:v>
      </x:c>
      <x:c r="E7" s="119" t="n">
        <x:v>121783</x:v>
      </x:c>
      <x:c r="F7" s="119" t="n">
        <x:v>47227</x:v>
      </x:c>
      <x:c r="G7" s="119" t="n">
        <x:v>1999000</x:v>
      </x:c>
      <x:c r="H7" s="119" t="n">
        <x:v>1848000</x:v>
      </x:c>
      <x:c r="I7" s="119" t="n">
        <x:v>1271000</x:v>
      </x:c>
      <x:c r="J7" s="119" t="n">
        <x:v>1107000</x:v>
      </x:c>
      <x:c r="K7" s="119" t="n">
        <x:v>1519000</x:v>
      </x:c>
      <x:c r="L7" s="119" t="n">
        <x:v>1355000</x:v>
      </x:c>
      <x:c r="M7" s="119" t="n">
        <x:v>622000</x:v>
      </x:c>
      <x:c r="N7" s="119" t="n">
        <x:v>540000</x:v>
      </x:c>
      <x:c r="O7" s="119" t="n">
        <x:v>266000</x:v>
      </x:c>
      <x:c r="P7" s="119" t="n">
        <x:v>230000</x:v>
      </x:c>
      <x:c r="Q7" s="119" t="n">
        <x:v>553000</x:v>
      </x:c>
      <x:c r="R7" s="119" t="n">
        <x:v>487000</x:v>
      </x:c>
      <x:c r="S7" s="120" t="n">
        <x:v>0.0167</x:v>
      </x:c>
      <x:c r="T7" s="120" t="n">
        <x:v>0.0039</x:v>
      </x:c>
      <x:c r="U7" s="120" t="n">
        <x:v>0.828</x:v>
      </x:c>
      <x:c r="V7" s="120" t="n">
        <x:v>0.0043</x:v>
      </x:c>
      <x:c r="W7" s="119" t="n">
        <x:v>40520</x:v>
      </x:c>
      <x:c r="X7" s="119" t="n">
        <x:v>1135</x:v>
      </x:c>
      <x:c r="Y7" s="98" t="n">
        <x:v>0.165</x:v>
      </x:c>
      <x:c r="Z7" s="98" t="n">
        <x:v>0.178</x:v>
      </x:c>
      <x:c r="AA7" s="121" t="n">
        <x:v>0.183</x:v>
      </x:c>
      <x:c r="AB7" s="122" t="n">
        <x:v>16600</x:v>
      </x:c>
      <x:c r="AC7" s="122" t="n">
        <x:v>3700</x:v>
      </x:c>
      <x:c r="AD7" s="117"/>
      <x:c r="AE7" s="117" t="str">
        <x:v>ICICI Bank</x:v>
      </x:c>
      <x:c r="AF7" s="123" t="str">
        <x:v>https://www.icici.bank.in/about-us/annual/2025</x:v>
      </x:c>
    </x:row>
    <x:row r="8">
      <x:c r="A8" s="88" t="str">
        <x:v>State Bank of India</x:v>
      </x:c>
      <x:c r="B8" s="88" t="str">
        <x:v>PSU</x:v>
      </x:c>
      <x:c r="C8" s="119" t="n">
        <x:v>161520</x:v>
      </x:c>
      <x:c r="D8" s="119" t="n">
        <x:v>75000</x:v>
      </x:c>
      <x:c r="E8" s="119" t="n">
        <x:v>236520</x:v>
      </x:c>
      <x:c r="F8" s="119" t="n">
        <x:v>70901</x:v>
      </x:c>
      <x:c r="G8" s="119" t="n">
        <x:v>6680000</x:v>
      </x:c>
      <x:c r="H8" s="119" t="n">
        <x:v>6100000</x:v>
      </x:c>
      <x:c r="I8" s="119" t="n">
        <x:v>3920000</x:v>
      </x:c>
      <x:c r="J8" s="119" t="n">
        <x:v>3400000</x:v>
      </x:c>
      <x:c r="K8" s="119" t="n">
        <x:v>5380000</x:v>
      </x:c>
      <x:c r="L8" s="119" t="n">
        <x:v>4950000</x:v>
      </x:c>
      <x:c r="M8" s="119" t="n">
        <x:v>2230000</x:v>
      </x:c>
      <x:c r="N8" s="119" t="n">
        <x:v>2000000</x:v>
      </x:c>
      <x:c r="O8" s="119" t="n">
        <x:v>358000</x:v>
      </x:c>
      <x:c r="P8" s="119" t="n">
        <x:v>316000</x:v>
      </x:c>
      <x:c r="Q8" s="119" t="n">
        <x:v>1770000</x:v>
      </x:c>
      <x:c r="R8" s="119" t="n">
        <x:v>1630000</x:v>
      </x:c>
      <x:c r="S8" s="120" t="n">
        <x:v>0.0182</x:v>
      </x:c>
      <x:c r="T8" s="120" t="n">
        <x:v>0.0047</x:v>
      </x:c>
      <x:c r="U8" s="120" t="n">
        <x:v>0.742</x:v>
      </x:c>
      <x:c r="V8" s="120" t="n">
        <x:v>0.0038</x:v>
      </x:c>
      <x:c r="W8" s="119" t="n">
        <x:v>84500</x:v>
      </x:c>
      <x:c r="X8" s="119" t="n">
        <x:v>14896</x:v>
      </x:c>
      <x:c r="Y8" s="98" t="n">
        <x:v>0.111</x:v>
      </x:c>
      <x:c r="Z8" s="98" t="n">
        <x:v>0.12</x:v>
      </x:c>
      <x:c r="AA8" s="121" t="n">
        <x:v>0.142</x:v>
      </x:c>
      <x:c r="AB8" s="122" t="n">
        <x:v>30100</x:v>
      </x:c>
      <x:c r="AC8" s="122" t="n">
        <x:v>3400</x:v>
      </x:c>
      <x:c r="AD8" s="117"/>
      <x:c r="AE8" s="117" t="str">
        <x:v>State Bank of India</x:v>
      </x:c>
      <x:c r="AF8" s="123" t="str">
        <x:v>https://sbi.bank.in/web/corporate-governance/annual-report</x:v>
      </x:c>
    </x:row>
    <x:row r="9">
      <x:c r="A9" s="88" t="str">
        <x:v>Axis Bank</x:v>
      </x:c>
      <x:c r="B9" s="88" t="str">
        <x:v>Private</x:v>
      </x:c>
      <x:c r="C9" s="119" t="n">
        <x:v>55000</x:v>
      </x:c>
      <x:c r="D9" s="119" t="n">
        <x:v>28700</x:v>
      </x:c>
      <x:c r="E9" s="119" t="n">
        <x:v>83700</x:v>
      </x:c>
      <x:c r="F9" s="119" t="n">
        <x:v>28055</x:v>
      </x:c>
      <x:c r="G9" s="119" t="n">
        <x:v>1610000</x:v>
      </x:c>
      <x:c r="H9" s="119" t="n">
        <x:v>1480000</x:v>
      </x:c>
      <x:c r="I9" s="119" t="n">
        <x:v>1040000</x:v>
      </x:c>
      <x:c r="J9" s="119" t="n">
        <x:v>930000</x:v>
      </x:c>
      <x:c r="K9" s="119" t="n">
        <x:v>1171000</x:v>
      </x:c>
      <x:c r="L9" s="119" t="n">
        <x:v>1063000</x:v>
      </x:c>
      <x:c r="M9" s="119" t="n">
        <x:v>455000</x:v>
      </x:c>
      <x:c r="N9" s="119" t="n">
        <x:v>401000</x:v>
      </x:c>
      <x:c r="O9" s="119" t="n">
        <x:v>183000</x:v>
      </x:c>
      <x:c r="P9" s="119" t="n">
        <x:v>159000</x:v>
      </x:c>
      <x:c r="Q9" s="119" t="n">
        <x:v>523000</x:v>
      </x:c>
      <x:c r="R9" s="119" t="n">
        <x:v>466000</x:v>
      </x:c>
      <x:c r="S9" s="120" t="n">
        <x:v>0.0128</x:v>
      </x:c>
      <x:c r="T9" s="120" t="n">
        <x:v>0.0033</x:v>
      </x:c>
      <x:c r="U9" s="120" t="n">
        <x:v>0.79</x:v>
      </x:c>
      <x:c r="V9" s="120" t="n">
        <x:v>0.0055</x:v>
      </x:c>
      <x:c r="W9" s="119" t="n">
        <x:v>33300</x:v>
      </x:c>
      <x:c r="X9" s="119" t="n">
        <x:v>1010</x:v>
      </x:c>
      <x:c r="Y9" s="98" t="n">
        <x:v>0.14</x:v>
      </x:c>
      <x:c r="Z9" s="98" t="n">
        <x:v>0.15</x:v>
      </x:c>
      <x:c r="AA9" s="121" t="n">
        <x:v>0.166</x:v>
      </x:c>
      <x:c r="AB9" s="122" t="n">
        <x:v>13700</x:v>
      </x:c>
      <x:c r="AC9" s="122" t="n">
        <x:v>4100</x:v>
      </x:c>
      <x:c r="AD9" s="117"/>
      <x:c r="AE9" s="117" t="str">
        <x:v>Axis Bank</x:v>
      </x:c>
      <x:c r="AF9" s="123" t="str">
        <x:v>https://www.axisbank.com/annual-reports/2024-2025/index.html</x:v>
      </x:c>
    </x:row>
    <x:row r="10">
      <x:c r="A10" s="88" t="str">
        <x:v>Kotak Mahindra Bank</x:v>
      </x:c>
      <x:c r="B10" s="88" t="str">
        <x:v>Private</x:v>
      </x:c>
      <x:c r="C10" s="119" t="n">
        <x:v>28400</x:v>
      </x:c>
      <x:c r="D10" s="119" t="n">
        <x:v>18400</x:v>
      </x:c>
      <x:c r="E10" s="119" t="n">
        <x:v>46800</x:v>
      </x:c>
      <x:c r="F10" s="119" t="n">
        <x:v>4710</x:v>
      </x:c>
      <x:c r="G10" s="119" t="n">
        <x:v>682000</x:v>
      </x:c>
      <x:c r="H10" s="119" t="n">
        <x:v>614000</x:v>
      </x:c>
      <x:c r="I10" s="119" t="n">
        <x:v>405000</x:v>
      </x:c>
      <x:c r="J10" s="119" t="n">
        <x:v>357000</x:v>
      </x:c>
      <x:c r="K10" s="119" t="n">
        <x:v>451000</x:v>
      </x:c>
      <x:c r="L10" s="119" t="n">
        <x:v>399000</x:v>
      </x:c>
      <x:c r="M10" s="119" t="n">
        <x:v>198000</x:v>
      </x:c>
      <x:c r="N10" s="119" t="n">
        <x:v>172000</x:v>
      </x:c>
      <x:c r="O10" s="119" t="n">
        <x:v>132000</x:v>
      </x:c>
      <x:c r="P10" s="119" t="n">
        <x:v>118000</x:v>
      </x:c>
      <x:c r="Q10" s="119" t="n">
        <x:v>212000</x:v>
      </x:c>
      <x:c r="R10" s="119" t="n">
        <x:v>191000</x:v>
      </x:c>
      <x:c r="S10" s="120" t="n">
        <x:v>0.015</x:v>
      </x:c>
      <x:c r="T10" s="120" t="n">
        <x:v>0.0031</x:v>
      </x:c>
      <x:c r="U10" s="120" t="n">
        <x:v>0.79</x:v>
      </x:c>
      <x:c r="V10" s="120" t="n">
        <x:v>0.0039</x:v>
      </x:c>
      <x:c r="W10" s="119" t="n">
        <x:v>20600</x:v>
      </x:c>
      <x:c r="X10" s="119" t="n">
        <x:v>590</x:v>
      </x:c>
      <x:c r="Y10" s="98" t="n">
        <x:v>0.214</x:v>
      </x:c>
      <x:c r="Z10" s="98" t="n">
        <x:v>0.214</x:v>
      </x:c>
      <x:c r="AA10" s="121" t="n">
        <x:v>0.223</x:v>
      </x:c>
      <x:c r="AB10" s="122" t="n">
        <x:v>8500</x:v>
      </x:c>
      <x:c r="AC10" s="122" t="n">
        <x:v>2500</x:v>
      </x:c>
      <x:c r="AD10" s="117"/>
      <x:c r="AE10" s="117" t="str">
        <x:v>Kotak Mahindra Bank</x:v>
      </x:c>
      <x:c r="AF10" s="123" t="str">
        <x:v>https://www.kotak.com/en/investor-relations/financial-results.html</x:v>
      </x:c>
    </x:row>
    <x:row r="11">
      <x:c r="A11" s="88" t="str">
        <x:v>IndusInd Bank</x:v>
      </x:c>
      <x:c r="B11" s="88" t="str">
        <x:v>Private</x:v>
      </x:c>
      <x:c r="C11" s="119" t="n">
        <x:v>21100</x:v>
      </x:c>
      <x:c r="D11" s="119" t="n">
        <x:v>10500</x:v>
      </x:c>
      <x:c r="E11" s="119" t="n">
        <x:v>31600</x:v>
      </x:c>
      <x:c r="F11" s="119" t="n">
        <x:v>3009</x:v>
      </x:c>
      <x:c r="G11" s="119" t="n">
        <x:v>595000</x:v>
      </x:c>
      <x:c r="H11" s="119" t="n">
        <x:v>545000</x:v>
      </x:c>
      <x:c r="I11" s="119" t="n">
        <x:v>383000</x:v>
      </x:c>
      <x:c r="J11" s="119" t="n">
        <x:v>342000</x:v>
      </x:c>
      <x:c r="K11" s="119" t="n">
        <x:v>448000</x:v>
      </x:c>
      <x:c r="L11" s="119" t="n">
        <x:v>398000</x:v>
      </x:c>
      <x:c r="M11" s="119" t="n">
        <x:v>166000</x:v>
      </x:c>
      <x:c r="N11" s="119" t="n">
        <x:v>147000</x:v>
      </x:c>
      <x:c r="O11" s="119" t="n">
        <x:v>64000</x:v>
      </x:c>
      <x:c r="P11" s="119" t="n">
        <x:v>59000</x:v>
      </x:c>
      <x:c r="Q11" s="119" t="n">
        <x:v>130000</x:v>
      </x:c>
      <x:c r="R11" s="119" t="n">
        <x:v>118000</x:v>
      </x:c>
      <x:c r="S11" s="120" t="n">
        <x:v>0.0313</x:v>
      </x:c>
      <x:c r="T11" s="120" t="n">
        <x:v>0.0095</x:v>
      </x:c>
      <x:c r="U11" s="120" t="n">
        <x:v>0.709</x:v>
      </x:c>
      <x:c r="V11" s="120" t="n">
        <x:v>0.0197</x:v>
      </x:c>
      <x:c r="W11" s="119" t="n">
        <x:v>22400</x:v>
      </x:c>
      <x:c r="X11" s="119" t="n">
        <x:v>755</x:v>
      </x:c>
      <x:c r="Y11" s="98" t="n">
        <x:v>0.152</x:v>
      </x:c>
      <x:c r="Z11" s="98" t="n">
        <x:v>0.16</x:v>
      </x:c>
      <x:c r="AA11" s="121" t="n">
        <x:v>0.172</x:v>
      </x:c>
      <x:c r="AB11" s="122" t="n">
        <x:v>6800</x:v>
      </x:c>
      <x:c r="AC11" s="122" t="n">
        <x:v>6000</x:v>
      </x:c>
      <x:c r="AD11" s="117"/>
      <x:c r="AE11" s="117" t="str">
        <x:v>IndusInd Bank</x:v>
      </x:c>
      <x:c r="AF11" s="123" t="str">
        <x:v>https://www.indusind.com/in/en/personal/investor-relations.html</x:v>
      </x:c>
    </x:row>
    <x:row r="12">
      <x:c r="A12" s="88" t="str">
        <x:v>Bank of Baroda</x:v>
      </x:c>
      <x:c r="B12" s="88" t="str">
        <x:v>PSU</x:v>
      </x:c>
      <x:c r="C12" s="119" t="n">
        <x:v>46000</x:v>
      </x:c>
      <x:c r="D12" s="119" t="n">
        <x:v>21000</x:v>
      </x:c>
      <x:c r="E12" s="119" t="n">
        <x:v>67000</x:v>
      </x:c>
      <x:c r="F12" s="119" t="n">
        <x:v>19581</x:v>
      </x:c>
      <x:c r="G12" s="119" t="n">
        <x:v>1860000</x:v>
      </x:c>
      <x:c r="H12" s="119" t="n">
        <x:v>1700000</x:v>
      </x:c>
      <x:c r="I12" s="119" t="n">
        <x:v>1200000</x:v>
      </x:c>
      <x:c r="J12" s="119" t="n">
        <x:v>1070000</x:v>
      </x:c>
      <x:c r="K12" s="119" t="n">
        <x:v>1390000</x:v>
      </x:c>
      <x:c r="L12" s="119" t="n">
        <x:v>1260000</x:v>
      </x:c>
      <x:c r="M12" s="119" t="n">
        <x:v>503000</x:v>
      </x:c>
      <x:c r="N12" s="119" t="n">
        <x:v>460000</x:v>
      </x:c>
      <x:c r="O12" s="119" t="n">
        <x:v>122000</x:v>
      </x:c>
      <x:c r="P12" s="119" t="n">
        <x:v>110000</x:v>
      </x:c>
      <x:c r="Q12" s="119" t="n">
        <x:v>491000</x:v>
      </x:c>
      <x:c r="R12" s="119" t="n">
        <x:v>448000</x:v>
      </x:c>
      <x:c r="S12" s="120" t="n">
        <x:v>0.0226</x:v>
      </x:c>
      <x:c r="T12" s="120" t="n">
        <x:v>0.0058</x:v>
      </x:c>
      <x:c r="U12" s="120" t="n">
        <x:v>0.93</x:v>
      </x:c>
      <x:c r="V12" s="120" t="n">
        <x:v>0.0028</x:v>
      </x:c>
      <x:c r="W12" s="119" t="n">
        <x:v>31700</x:v>
      </x:c>
      <x:c r="X12" s="119" t="n">
        <x:v>755</x:v>
      </x:c>
      <x:c r="Y12" s="98" t="n">
        <x:v>0.12</x:v>
      </x:c>
      <x:c r="Z12" s="98" t="n">
        <x:v>0.125</x:v>
      </x:c>
      <x:c r="AA12" s="121" t="n">
        <x:v>0.152</x:v>
      </x:c>
      <x:c r="AB12" s="122" t="n">
        <x:v>8300</x:v>
      </x:c>
      <x:c r="AC12" s="122" t="n">
        <x:v>3200</x:v>
      </x:c>
      <x:c r="AD12" s="117"/>
      <x:c r="AE12" s="117" t="str">
        <x:v>Bank of Baroda</x:v>
      </x:c>
      <x:c r="AF12" s="123" t="str">
        <x:v>https://www.bankofbaroda.in/shareholders-corner/financial-results</x:v>
      </x:c>
    </x:row>
    <x:row r="13">
      <x:c r="A13" s="88" t="str">
        <x:v>Punjab National Bank</x:v>
      </x:c>
      <x:c r="B13" s="88" t="str">
        <x:v>PSU</x:v>
      </x:c>
      <x:c r="C13" s="119" t="n">
        <x:v>42000</x:v>
      </x:c>
      <x:c r="D13" s="119" t="n">
        <x:v>18000</x:v>
      </x:c>
      <x:c r="E13" s="119" t="n">
        <x:v>60000</x:v>
      </x:c>
      <x:c r="F13" s="119" t="n">
        <x:v>16000</x:v>
      </x:c>
      <x:c r="G13" s="119" t="n">
        <x:v>1790000</x:v>
      </x:c>
      <x:c r="H13" s="119" t="n">
        <x:v>1640000</x:v>
      </x:c>
      <x:c r="I13" s="119" t="n">
        <x:v>1110000</x:v>
      </x:c>
      <x:c r="J13" s="119" t="n">
        <x:v>990000</x:v>
      </x:c>
      <x:c r="K13" s="119" t="n">
        <x:v>1480000</x:v>
      </x:c>
      <x:c r="L13" s="119" t="n">
        <x:v>1360000</x:v>
      </x:c>
      <x:c r="M13" s="119" t="n">
        <x:v>511000</x:v>
      </x:c>
      <x:c r="N13" s="119" t="n">
        <x:v>465000</x:v>
      </x:c>
      <x:c r="O13" s="119" t="n">
        <x:v>98000</x:v>
      </x:c>
      <x:c r="P13" s="119" t="n">
        <x:v>86000</x:v>
      </x:c>
      <x:c r="Q13" s="119" t="n">
        <x:v>440000</x:v>
      </x:c>
      <x:c r="R13" s="119" t="n">
        <x:v>404000</x:v>
      </x:c>
      <x:c r="S13" s="120" t="n">
        <x:v>0.0395</x:v>
      </x:c>
      <x:c r="T13" s="120" t="n">
        <x:v>0.004</x:v>
      </x:c>
      <x:c r="U13" s="120" t="n">
        <x:v>0.8</x:v>
      </x:c>
      <x:c r="V13" s="120" t="n">
        <x:v>0.0038</x:v>
      </x:c>
      <x:c r="W13" s="119" t="n">
        <x:v>29400</x:v>
      </x:c>
      <x:c r="X13" s="119" t="n">
        <x:v>1498</x:v>
      </x:c>
      <x:c r="Y13" s="98" t="n">
        <x:v>0.118</x:v>
      </x:c>
      <x:c r="Z13" s="98" t="n">
        <x:v>0.125</x:v>
      </x:c>
      <x:c r="AA13" s="121" t="n">
        <x:v>0.171</x:v>
      </x:c>
      <x:c r="AB13" s="122" t="n">
        <x:v>6700</x:v>
      </x:c>
      <x:c r="AC13" s="122" t="n">
        <x:v>3700</x:v>
      </x:c>
      <x:c r="AD13" s="117"/>
      <x:c r="AE13" s="117" t="str">
        <x:v>Punjab National Bank</x:v>
      </x:c>
      <x:c r="AF13" s="123" t="str">
        <x:v>https://pnb.bank.in/financial-results.html</x:v>
      </x:c>
    </x:row>
    <x:row r="14">
      <x:c r="A14" s="88" t="str">
        <x:v>Federal Bank</x:v>
      </x:c>
      <x:c r="B14" s="88" t="str">
        <x:v>Private</x:v>
      </x:c>
      <x:c r="C14" s="119" t="n">
        <x:v>9000</x:v>
      </x:c>
      <x:c r="D14" s="119" t="n">
        <x:v>4900</x:v>
      </x:c>
      <x:c r="E14" s="119" t="n">
        <x:v>13900</x:v>
      </x:c>
      <x:c r="F14" s="119" t="n">
        <x:v>4210</x:v>
      </x:c>
      <x:c r="G14" s="119" t="n">
        <x:v>306000</x:v>
      </x:c>
      <x:c r="H14" s="119" t="n">
        <x:v>271000</x:v>
      </x:c>
      <x:c r="I14" s="119" t="n">
        <x:v>232000</x:v>
      </x:c>
      <x:c r="J14" s="119" t="n">
        <x:v>203000</x:v>
      </x:c>
      <x:c r="K14" s="119" t="n">
        <x:v>275000</x:v>
      </x:c>
      <x:c r="L14" s="119" t="n">
        <x:v>245000</x:v>
      </x:c>
      <x:c r="M14" s="119" t="n">
        <x:v>87000</x:v>
      </x:c>
      <x:c r="N14" s="119" t="n">
        <x:v>76000</x:v>
      </x:c>
      <x:c r="O14" s="119" t="n">
        <x:v>27000</x:v>
      </x:c>
      <x:c r="P14" s="119" t="n">
        <x:v>24000</x:v>
      </x:c>
      <x:c r="Q14" s="119" t="n">
        <x:v>70000</x:v>
      </x:c>
      <x:c r="R14" s="119" t="n">
        <x:v>63500</x:v>
      </x:c>
      <x:c r="S14" s="120" t="n">
        <x:v>0.0184</x:v>
      </x:c>
      <x:c r="T14" s="120" t="n">
        <x:v>0.0048</x:v>
      </x:c>
      <x:c r="U14" s="120" t="n">
        <x:v>0.75</x:v>
      </x:c>
      <x:c r="V14" s="120" t="n">
        <x:v>0.0033</x:v>
      </x:c>
      <x:c r="W14" s="119" t="n">
        <x:v>9000</x:v>
      </x:c>
      <x:c r="X14" s="119" t="n">
        <x:v>440</x:v>
      </x:c>
      <x:c r="Y14" s="98" t="n">
        <x:v>0.154</x:v>
      </x:c>
      <x:c r="Z14" s="98" t="n">
        <x:v>0.165</x:v>
      </x:c>
      <x:c r="AA14" s="121" t="n">
        <x:v>0.172</x:v>
      </x:c>
      <x:c r="AB14" s="122" t="n">
        <x:v>4200</x:v>
      </x:c>
      <x:c r="AC14" s="122" t="n">
        <x:v>3500</x:v>
      </x:c>
      <x:c r="AD14" s="117"/>
      <x:c r="AE14" s="117" t="str">
        <x:v>Federal Bank</x:v>
      </x:c>
      <x:c r="AF14" s="123" t="str">
        <x:v>https://www.federalbank.co.in/financial-results</x:v>
      </x:c>
    </x:row>
    <x:row r="15">
      <x:c r="A15" s="88" t="str">
        <x:v>IDFC FIRST Bank</x:v>
      </x:c>
      <x:c r="B15" s="88" t="str">
        <x:v>Private</x:v>
      </x:c>
      <x:c r="C15" s="119" t="n">
        <x:v>15100</x:v>
      </x:c>
      <x:c r="D15" s="119" t="n">
        <x:v>9400</x:v>
      </x:c>
      <x:c r="E15" s="119" t="n">
        <x:v>24500</x:v>
      </x:c>
      <x:c r="F15" s="119" t="n">
        <x:v>1615</x:v>
      </x:c>
      <x:c r="G15" s="119" t="n">
        <x:v>516000</x:v>
      </x:c>
      <x:c r="H15" s="119" t="n">
        <x:v>422000</x:v>
      </x:c>
      <x:c r="I15" s="119" t="n">
        <x:v>241000</x:v>
      </x:c>
      <x:c r="J15" s="119" t="n">
        <x:v>200000</x:v>
      </x:c>
      <x:c r="K15" s="119" t="n">
        <x:v>254000</x:v>
      </x:c>
      <x:c r="L15" s="119" t="n">
        <x:v>206000</x:v>
      </x:c>
      <x:c r="M15" s="119" t="n">
        <x:v>122000</x:v>
      </x:c>
      <x:c r="N15" s="119" t="n">
        <x:v>98000</x:v>
      </x:c>
      <x:c r="O15" s="119" t="n">
        <x:v>45000</x:v>
      </x:c>
      <x:c r="P15" s="119" t="n">
        <x:v>39500</x:v>
      </x:c>
      <x:c r="Q15" s="119" t="n">
        <x:v>166000</x:v>
      </x:c>
      <x:c r="R15" s="119" t="n">
        <x:v>139000</x:v>
      </x:c>
      <x:c r="S15" s="120" t="n">
        <x:v>0.0187</x:v>
      </x:c>
      <x:c r="T15" s="120" t="n">
        <x:v>0.0053</x:v>
      </x:c>
      <x:c r="U15" s="120" t="n">
        <x:v>0.78</x:v>
      </x:c>
      <x:c r="V15" s="120" t="n">
        <x:v>0.0184</x:v>
      </x:c>
      <x:c r="W15" s="119" t="n">
        <x:v>18500</x:v>
      </x:c>
      <x:c r="X15" s="119" t="n">
        <x:v>939</x:v>
      </x:c>
      <x:c r="Y15" s="98" t="n">
        <x:v>0.137</x:v>
      </x:c>
      <x:c r="Z15" s="98" t="n">
        <x:v>0.14</x:v>
      </x:c>
      <x:c r="AA15" s="121" t="n">
        <x:v>0.161</x:v>
      </x:c>
      <x:c r="AB15" s="122" t="n">
        <x:v>9800</x:v>
      </x:c>
      <x:c r="AC15" s="122" t="n">
        <x:v>9000</x:v>
      </x:c>
      <x:c r="AD15" s="117"/>
      <x:c r="AE15" s="117" t="str">
        <x:v>IDFC FIRST Bank</x:v>
      </x:c>
      <x:c r="AF15" s="123" t="str">
        <x:v>https://www.idfcfirstbank.com/investor-relations/financial-information</x:v>
      </x:c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  <x:c r="AA16" s="117"/>
      <x:c r="AB16" s="117"/>
      <x:c r="AC16" s="117"/>
      <x:c r="AD16" s="117"/>
      <x:c r="AE16" s="117"/>
      <x:c r="AF16" s="117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  <x:c r="AA17" s="117"/>
      <x:c r="AB17" s="117"/>
      <x:c r="AC17" s="117"/>
      <x:c r="AD17" s="117"/>
      <x:c r="AE17" s="117"/>
      <x:c r="AF17" s="117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  <x:c r="AA18" s="117"/>
      <x:c r="AB18" s="117"/>
      <x:c r="AC18" s="117"/>
      <x:c r="AD18" s="117"/>
      <x:c r="AE18" s="117"/>
      <x:c r="AF18" s="117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  <x:c r="X19" s="88"/>
      <x:c r="Y19" s="88"/>
      <x:c r="Z19" s="88"/>
      <x:c r="AA19" s="117"/>
      <x:c r="AB19" s="117"/>
      <x:c r="AC19" s="117"/>
      <x:c r="AD19" s="117"/>
      <x:c r="AE19" s="117"/>
      <x:c r="AF19" s="117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  <x:c r="X20" s="88"/>
      <x:c r="Y20" s="88"/>
      <x:c r="Z20" s="88"/>
      <x:c r="AA20" s="117"/>
      <x:c r="AB20" s="117"/>
      <x:c r="AC20" s="117"/>
      <x:c r="AD20" s="117"/>
      <x:c r="AE20" s="117"/>
      <x:c r="AF20" s="117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  <x:c r="AA21" s="117"/>
      <x:c r="AB21" s="117"/>
      <x:c r="AC21" s="117"/>
      <x:c r="AD21" s="117"/>
      <x:c r="AE21" s="117"/>
      <x:c r="AF21" s="117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  <x:c r="AA22" s="117"/>
      <x:c r="AB22" s="117"/>
      <x:c r="AC22" s="117"/>
      <x:c r="AD22" s="117"/>
      <x:c r="AE22" s="117"/>
      <x:c r="AF22" s="117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  <x:c r="AA23" s="117"/>
      <x:c r="AB23" s="117"/>
      <x:c r="AC23" s="117"/>
      <x:c r="AD23" s="117"/>
      <x:c r="AE23" s="117"/>
      <x:c r="AF23" s="117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  <x:c r="AA24" s="117"/>
      <x:c r="AB24" s="117"/>
      <x:c r="AC24" s="117"/>
      <x:c r="AD24" s="117"/>
      <x:c r="AE24" s="117"/>
      <x:c r="AF24" s="117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  <x:c r="X25" s="88"/>
      <x:c r="Y25" s="88"/>
      <x:c r="Z25" s="88"/>
      <x:c r="AA25" s="117"/>
      <x:c r="AB25" s="117"/>
      <x:c r="AC25" s="117"/>
      <x:c r="AD25" s="117"/>
      <x:c r="AE25" s="117"/>
      <x:c r="AF25" s="117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  <x:c r="X26" s="88"/>
      <x:c r="Y26" s="88"/>
      <x:c r="Z26" s="88"/>
      <x:c r="AA26" s="117"/>
      <x:c r="AB26" s="117"/>
      <x:c r="AC26" s="117"/>
      <x:c r="AD26" s="117"/>
      <x:c r="AE26" s="117"/>
      <x:c r="AF26" s="117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  <x:c r="X27" s="88"/>
      <x:c r="Y27" s="88"/>
      <x:c r="Z27" s="88"/>
      <x:c r="AA27" s="117"/>
      <x:c r="AB27" s="117"/>
      <x:c r="AC27" s="117"/>
      <x:c r="AD27" s="117"/>
      <x:c r="AE27" s="117"/>
      <x:c r="AF27" s="117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  <x:c r="AA28" s="117"/>
      <x:c r="AB28" s="117"/>
      <x:c r="AC28" s="117"/>
      <x:c r="AD28" s="117"/>
      <x:c r="AE28" s="117"/>
      <x:c r="AF28" s="117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  <x:c r="AA29" s="117"/>
      <x:c r="AB29" s="117"/>
      <x:c r="AC29" s="117"/>
      <x:c r="AD29" s="117"/>
      <x:c r="AE29" s="117"/>
      <x:c r="AF29" s="117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  <x:c r="X30" s="88"/>
      <x:c r="Y30" s="88"/>
      <x:c r="Z30" s="88"/>
      <x:c r="AA30" s="117"/>
      <x:c r="AB30" s="117"/>
      <x:c r="AC30" s="117"/>
      <x:c r="AD30" s="117"/>
      <x:c r="AE30" s="117"/>
      <x:c r="AF30" s="117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  <x:c r="X31" s="88"/>
      <x:c r="Y31" s="88"/>
      <x:c r="Z31" s="88"/>
      <x:c r="AA31" s="117"/>
      <x:c r="AB31" s="117"/>
      <x:c r="AC31" s="117"/>
      <x:c r="AD31" s="117"/>
      <x:c r="AE31" s="117"/>
      <x:c r="AF31" s="117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  <x:c r="X32" s="88"/>
      <x:c r="Y32" s="88"/>
      <x:c r="Z32" s="88"/>
      <x:c r="AA32" s="117"/>
      <x:c r="AB32" s="117"/>
      <x:c r="AC32" s="117"/>
      <x:c r="AD32" s="117"/>
      <x:c r="AE32" s="117"/>
      <x:c r="AF32" s="117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  <x:c r="X33" s="88"/>
      <x:c r="Y33" s="88"/>
      <x:c r="Z33" s="88"/>
      <x:c r="AA33" s="117"/>
      <x:c r="AB33" s="117"/>
      <x:c r="AC33" s="117"/>
      <x:c r="AD33" s="117"/>
      <x:c r="AE33" s="117"/>
      <x:c r="AF33" s="117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  <x:c r="X34" s="88"/>
      <x:c r="Y34" s="88"/>
      <x:c r="Z34" s="88"/>
      <x:c r="AA34" s="117"/>
      <x:c r="AB34" s="117"/>
      <x:c r="AC34" s="117"/>
      <x:c r="AD34" s="117"/>
      <x:c r="AE34" s="117"/>
      <x:c r="AF34" s="117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  <x:c r="X35" s="88"/>
      <x:c r="Y35" s="88"/>
      <x:c r="Z35" s="88"/>
      <x:c r="AA35" s="117"/>
      <x:c r="AB35" s="117"/>
      <x:c r="AC35" s="117"/>
      <x:c r="AD35" s="117"/>
      <x:c r="AE35" s="117"/>
      <x:c r="AF35" s="117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  <x:c r="X36" s="88"/>
      <x:c r="Y36" s="88"/>
      <x:c r="Z36" s="88"/>
      <x:c r="AA36" s="117"/>
      <x:c r="AB36" s="117"/>
      <x:c r="AC36" s="117"/>
      <x:c r="AD36" s="117"/>
      <x:c r="AE36" s="117"/>
      <x:c r="AF36" s="117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  <x:c r="X37" s="88"/>
      <x:c r="Y37" s="88"/>
      <x:c r="Z37" s="88"/>
      <x:c r="AA37" s="117"/>
      <x:c r="AB37" s="117"/>
      <x:c r="AC37" s="117"/>
      <x:c r="AD37" s="117"/>
      <x:c r="AE37" s="117"/>
      <x:c r="AF37" s="117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  <x:c r="X38" s="88"/>
      <x:c r="Y38" s="88"/>
      <x:c r="Z38" s="88"/>
      <x:c r="AA38" s="117"/>
      <x:c r="AB38" s="117"/>
      <x:c r="AC38" s="117"/>
      <x:c r="AD38" s="117"/>
      <x:c r="AE38" s="117"/>
      <x:c r="AF38" s="117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  <x:c r="X39" s="88"/>
      <x:c r="Y39" s="88"/>
      <x:c r="Z39" s="88"/>
      <x:c r="AA39" s="117"/>
      <x:c r="AB39" s="117"/>
      <x:c r="AC39" s="117"/>
      <x:c r="AD39" s="117"/>
      <x:c r="AE39" s="117"/>
      <x:c r="AF39" s="117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  <x:c r="X40" s="88"/>
      <x:c r="Y40" s="88"/>
      <x:c r="Z40" s="88"/>
      <x:c r="AA40" s="117"/>
      <x:c r="AB40" s="117"/>
      <x:c r="AC40" s="117"/>
      <x:c r="AD40" s="117"/>
      <x:c r="AE40" s="117"/>
      <x:c r="AF40" s="117"/>
    </x:row>
    <x:row r="41">
      <x:c r="A41" s="88"/>
      <x:c r="B41" s="88"/>
      <x:c r="C41" s="88"/>
      <x:c r="D41" s="88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8"/>
      <x:c r="S41" s="88"/>
      <x:c r="T41" s="88"/>
      <x:c r="U41" s="88"/>
      <x:c r="V41" s="88"/>
      <x:c r="W41" s="88"/>
      <x:c r="X41" s="88"/>
      <x:c r="Y41" s="88"/>
      <x:c r="Z41" s="88"/>
      <x:c r="AA41" s="117"/>
      <x:c r="AB41" s="117"/>
      <x:c r="AC41" s="117"/>
      <x:c r="AD41" s="117"/>
      <x:c r="AE41" s="117"/>
      <x:c r="AF41" s="117"/>
    </x:row>
    <x:row r="42">
      <x:c r="A42" s="88"/>
      <x:c r="B42" s="88"/>
      <x:c r="C42" s="88"/>
      <x:c r="D42" s="88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8"/>
      <x:c r="S42" s="88"/>
      <x:c r="T42" s="88"/>
      <x:c r="U42" s="88"/>
      <x:c r="V42" s="88"/>
      <x:c r="W42" s="88"/>
      <x:c r="X42" s="88"/>
      <x:c r="Y42" s="88"/>
      <x:c r="Z42" s="88"/>
      <x:c r="AA42" s="117"/>
      <x:c r="AB42" s="117"/>
      <x:c r="AC42" s="117"/>
      <x:c r="AD42" s="117"/>
      <x:c r="AE42" s="117"/>
      <x:c r="AF42" s="117"/>
    </x:row>
    <x:row r="43">
      <x:c r="A43" s="88"/>
      <x:c r="B43" s="88"/>
      <x:c r="C43" s="88"/>
      <x:c r="D43" s="88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8"/>
      <x:c r="S43" s="88"/>
      <x:c r="T43" s="88"/>
      <x:c r="U43" s="88"/>
      <x:c r="V43" s="88"/>
      <x:c r="W43" s="88"/>
      <x:c r="X43" s="88"/>
      <x:c r="Y43" s="88"/>
      <x:c r="Z43" s="88"/>
      <x:c r="AA43" s="117"/>
      <x:c r="AB43" s="117"/>
      <x:c r="AC43" s="117"/>
      <x:c r="AD43" s="117"/>
      <x:c r="AE43" s="117"/>
      <x:c r="AF43" s="117"/>
    </x:row>
    <x:row r="44">
      <x:c r="A44" s="88"/>
      <x:c r="B44" s="88"/>
      <x:c r="C44" s="88"/>
      <x:c r="D44" s="88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8"/>
      <x:c r="S44" s="88"/>
      <x:c r="T44" s="88"/>
      <x:c r="U44" s="88"/>
      <x:c r="V44" s="88"/>
      <x:c r="W44" s="88"/>
      <x:c r="X44" s="88"/>
      <x:c r="Y44" s="88"/>
      <x:c r="Z44" s="88"/>
      <x:c r="AA44" s="117"/>
      <x:c r="AB44" s="117"/>
      <x:c r="AC44" s="117"/>
      <x:c r="AD44" s="117"/>
      <x:c r="AE44" s="117"/>
      <x:c r="AF44" s="117"/>
    </x:row>
    <x:row r="45">
      <x:c r="A45" s="88"/>
      <x:c r="B45" s="88"/>
      <x:c r="C45" s="88"/>
      <x:c r="D45" s="88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8"/>
      <x:c r="S45" s="88"/>
      <x:c r="T45" s="88"/>
      <x:c r="U45" s="88"/>
      <x:c r="V45" s="88"/>
      <x:c r="W45" s="88"/>
      <x:c r="X45" s="88"/>
      <x:c r="Y45" s="88"/>
      <x:c r="Z45" s="88"/>
      <x:c r="AA45" s="117"/>
      <x:c r="AB45" s="117"/>
      <x:c r="AC45" s="117"/>
      <x:c r="AD45" s="117"/>
      <x:c r="AE45" s="117"/>
      <x:c r="AF45" s="117"/>
    </x:row>
    <x:row r="46">
      <x:c r="A46" s="88"/>
      <x:c r="B46" s="88"/>
      <x:c r="C46" s="88"/>
      <x:c r="D46" s="88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8"/>
      <x:c r="S46" s="88"/>
      <x:c r="T46" s="88"/>
      <x:c r="U46" s="88"/>
      <x:c r="V46" s="88"/>
      <x:c r="W46" s="88"/>
      <x:c r="X46" s="88"/>
      <x:c r="Y46" s="88"/>
      <x:c r="Z46" s="88"/>
      <x:c r="AA46" s="117"/>
      <x:c r="AB46" s="117"/>
      <x:c r="AC46" s="117"/>
      <x:c r="AD46" s="117"/>
      <x:c r="AE46" s="117"/>
      <x:c r="AF46" s="117"/>
    </x:row>
    <x:row r="47">
      <x:c r="A47" s="88"/>
      <x:c r="B47" s="88"/>
      <x:c r="C47" s="88"/>
      <x:c r="D47" s="88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8"/>
      <x:c r="S47" s="88"/>
      <x:c r="T47" s="88"/>
      <x:c r="U47" s="88"/>
      <x:c r="V47" s="88"/>
      <x:c r="W47" s="88"/>
      <x:c r="X47" s="88"/>
      <x:c r="Y47" s="88"/>
      <x:c r="Z47" s="88"/>
      <x:c r="AA47" s="117"/>
      <x:c r="AB47" s="117"/>
      <x:c r="AC47" s="117"/>
      <x:c r="AD47" s="117"/>
      <x:c r="AE47" s="117"/>
      <x:c r="AF47" s="117"/>
    </x:row>
    <x:row r="48">
      <x:c r="A48" s="88"/>
      <x:c r="B48" s="88"/>
      <x:c r="C48" s="88"/>
      <x:c r="D48" s="88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8"/>
      <x:c r="S48" s="88"/>
      <x:c r="T48" s="88"/>
      <x:c r="U48" s="88"/>
      <x:c r="V48" s="88"/>
      <x:c r="W48" s="88"/>
      <x:c r="X48" s="88"/>
      <x:c r="Y48" s="88"/>
      <x:c r="Z48" s="88"/>
      <x:c r="AA48" s="117"/>
      <x:c r="AB48" s="117"/>
      <x:c r="AC48" s="117"/>
      <x:c r="AD48" s="117"/>
      <x:c r="AE48" s="117"/>
      <x:c r="AF48" s="117"/>
    </x:row>
    <x:row r="49">
      <x:c r="A49" s="88"/>
      <x:c r="B49" s="88"/>
      <x:c r="C49" s="88"/>
      <x:c r="D49" s="88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8"/>
      <x:c r="S49" s="88"/>
      <x:c r="T49" s="88"/>
      <x:c r="U49" s="88"/>
      <x:c r="V49" s="88"/>
      <x:c r="W49" s="88"/>
      <x:c r="X49" s="88"/>
      <x:c r="Y49" s="88"/>
      <x:c r="Z49" s="88"/>
      <x:c r="AA49" s="117"/>
      <x:c r="AB49" s="117"/>
      <x:c r="AC49" s="117"/>
      <x:c r="AD49" s="117"/>
      <x:c r="AE49" s="117"/>
      <x:c r="AF49" s="117"/>
    </x:row>
    <x:row r="50">
      <x:c r="A50" s="88"/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8"/>
      <x:c r="S50" s="88"/>
      <x:c r="T50" s="88"/>
      <x:c r="U50" s="88"/>
      <x:c r="V50" s="88"/>
      <x:c r="W50" s="88"/>
      <x:c r="X50" s="88"/>
      <x:c r="Y50" s="88"/>
      <x:c r="Z50" s="88"/>
      <x:c r="AA50" s="117"/>
      <x:c r="AB50" s="117"/>
      <x:c r="AC50" s="117"/>
      <x:c r="AD50" s="117"/>
      <x:c r="AE50" s="117"/>
      <x:c r="AF50" s="117"/>
    </x:row>
    <x:row r="51">
      <x:c r="A51" s="88"/>
      <x:c r="B51" s="88"/>
      <x:c r="C51" s="88"/>
      <x:c r="D51" s="88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8"/>
      <x:c r="S51" s="88"/>
      <x:c r="T51" s="88"/>
      <x:c r="U51" s="88"/>
      <x:c r="V51" s="88"/>
      <x:c r="W51" s="88"/>
      <x:c r="X51" s="88"/>
      <x:c r="Y51" s="88"/>
      <x:c r="Z51" s="88"/>
      <x:c r="AA51" s="117"/>
      <x:c r="AB51" s="117"/>
      <x:c r="AC51" s="117"/>
      <x:c r="AD51" s="117"/>
      <x:c r="AE51" s="117"/>
      <x:c r="AF51" s="117"/>
    </x:row>
    <x:row r="52">
      <x:c r="A52" s="88"/>
      <x:c r="B52" s="88"/>
      <x:c r="C52" s="88"/>
      <x:c r="D52" s="88"/>
      <x:c r="E52" s="88"/>
      <x:c r="F52" s="88"/>
      <x:c r="G52" s="88"/>
      <x:c r="H52" s="88"/>
      <x:c r="I52" s="88"/>
      <x:c r="J52" s="88"/>
      <x:c r="K52" s="88"/>
      <x:c r="L52" s="88"/>
      <x:c r="M52" s="88"/>
      <x:c r="N52" s="88"/>
      <x:c r="O52" s="88"/>
      <x:c r="P52" s="88"/>
      <x:c r="Q52" s="88"/>
      <x:c r="R52" s="88"/>
      <x:c r="S52" s="88"/>
      <x:c r="T52" s="88"/>
      <x:c r="U52" s="88"/>
      <x:c r="V52" s="88"/>
      <x:c r="W52" s="88"/>
      <x:c r="X52" s="88"/>
      <x:c r="Y52" s="88"/>
      <x:c r="Z52" s="88"/>
      <x:c r="AA52" s="117"/>
      <x:c r="AB52" s="117"/>
      <x:c r="AC52" s="117"/>
      <x:c r="AD52" s="117"/>
      <x:c r="AE52" s="117"/>
      <x:c r="AF52" s="117"/>
    </x:row>
    <x:row r="53">
      <x:c r="A53" s="88"/>
      <x:c r="B53" s="88"/>
      <x:c r="C53" s="88"/>
      <x:c r="D53" s="88"/>
      <x:c r="E53" s="88"/>
      <x:c r="F53" s="88"/>
      <x:c r="G53" s="88"/>
      <x:c r="H53" s="88"/>
      <x:c r="I53" s="88"/>
      <x:c r="J53" s="88"/>
      <x:c r="K53" s="88"/>
      <x:c r="L53" s="88"/>
      <x:c r="M53" s="88"/>
      <x:c r="N53" s="88"/>
      <x:c r="O53" s="88"/>
      <x:c r="P53" s="88"/>
      <x:c r="Q53" s="88"/>
      <x:c r="R53" s="88"/>
      <x:c r="S53" s="88"/>
      <x:c r="T53" s="88"/>
      <x:c r="U53" s="88"/>
      <x:c r="V53" s="88"/>
      <x:c r="W53" s="88"/>
      <x:c r="X53" s="88"/>
      <x:c r="Y53" s="88"/>
      <x:c r="Z53" s="88"/>
      <x:c r="AA53" s="117"/>
      <x:c r="AB53" s="117"/>
      <x:c r="AC53" s="117"/>
      <x:c r="AD53" s="117"/>
      <x:c r="AE53" s="117"/>
      <x:c r="AF53" s="117"/>
    </x:row>
    <x:row r="54">
      <x:c r="A54" s="88"/>
      <x:c r="B54" s="88"/>
      <x:c r="C54" s="88"/>
      <x:c r="D54" s="88"/>
      <x:c r="E54" s="88"/>
      <x:c r="F54" s="88"/>
      <x:c r="G54" s="88"/>
      <x:c r="H54" s="88"/>
      <x:c r="I54" s="88"/>
      <x:c r="J54" s="88"/>
      <x:c r="K54" s="88"/>
      <x:c r="L54" s="88"/>
      <x:c r="M54" s="88"/>
      <x:c r="N54" s="88"/>
      <x:c r="O54" s="88"/>
      <x:c r="P54" s="88"/>
      <x:c r="Q54" s="88"/>
      <x:c r="R54" s="88"/>
      <x:c r="S54" s="88"/>
      <x:c r="T54" s="88"/>
      <x:c r="U54" s="88"/>
      <x:c r="V54" s="88"/>
      <x:c r="W54" s="88"/>
      <x:c r="X54" s="88"/>
      <x:c r="Y54" s="88"/>
      <x:c r="Z54" s="88"/>
      <x:c r="AA54" s="117"/>
      <x:c r="AB54" s="117"/>
      <x:c r="AC54" s="117"/>
      <x:c r="AD54" s="117"/>
      <x:c r="AE54" s="117"/>
      <x:c r="AF54" s="117"/>
    </x:row>
    <x:row r="55">
      <x:c r="A55" s="88"/>
      <x:c r="B55" s="88"/>
      <x:c r="C55" s="88"/>
      <x:c r="D55" s="88"/>
      <x:c r="E55" s="88"/>
      <x:c r="F55" s="88"/>
      <x:c r="G55" s="88"/>
      <x:c r="H55" s="88"/>
      <x:c r="I55" s="88"/>
      <x:c r="J55" s="88"/>
      <x:c r="K55" s="88"/>
      <x:c r="L55" s="88"/>
      <x:c r="M55" s="88"/>
      <x:c r="N55" s="88"/>
      <x:c r="O55" s="88"/>
      <x:c r="P55" s="88"/>
      <x:c r="Q55" s="88"/>
      <x:c r="R55" s="88"/>
      <x:c r="S55" s="88"/>
      <x:c r="T55" s="88"/>
      <x:c r="U55" s="88"/>
      <x:c r="V55" s="88"/>
      <x:c r="W55" s="88"/>
      <x:c r="X55" s="88"/>
      <x:c r="Y55" s="88"/>
      <x:c r="Z55" s="88"/>
      <x:c r="AA55" s="117"/>
      <x:c r="AB55" s="117"/>
      <x:c r="AC55" s="117"/>
      <x:c r="AD55" s="117"/>
      <x:c r="AE55" s="117"/>
      <x:c r="AF55" s="117"/>
    </x:row>
    <x:row r="56">
      <x:c r="A56" s="88"/>
      <x:c r="B56" s="88"/>
      <x:c r="C56" s="88"/>
      <x:c r="D56" s="88"/>
      <x:c r="E56" s="88"/>
      <x:c r="F56" s="88"/>
      <x:c r="G56" s="88"/>
      <x:c r="H56" s="88"/>
      <x:c r="I56" s="88"/>
      <x:c r="J56" s="88"/>
      <x:c r="K56" s="88"/>
      <x:c r="L56" s="88"/>
      <x:c r="M56" s="88"/>
      <x:c r="N56" s="88"/>
      <x:c r="O56" s="88"/>
      <x:c r="P56" s="88"/>
      <x:c r="Q56" s="88"/>
      <x:c r="R56" s="88"/>
      <x:c r="S56" s="88"/>
      <x:c r="T56" s="88"/>
      <x:c r="U56" s="88"/>
      <x:c r="V56" s="88"/>
      <x:c r="W56" s="88"/>
      <x:c r="X56" s="88"/>
      <x:c r="Y56" s="88"/>
      <x:c r="Z56" s="88"/>
      <x:c r="AA56" s="117"/>
      <x:c r="AB56" s="117"/>
      <x:c r="AC56" s="117"/>
      <x:c r="AD56" s="117"/>
      <x:c r="AE56" s="117"/>
      <x:c r="AF56" s="117"/>
    </x:row>
    <x:row r="57">
      <x:c r="A57" s="88"/>
      <x:c r="B57" s="88"/>
      <x:c r="C57" s="88"/>
      <x:c r="D57" s="88"/>
      <x:c r="E57" s="88"/>
      <x:c r="F57" s="88"/>
      <x:c r="G57" s="88"/>
      <x:c r="H57" s="88"/>
      <x:c r="I57" s="88"/>
      <x:c r="J57" s="88"/>
      <x:c r="K57" s="88"/>
      <x:c r="L57" s="88"/>
      <x:c r="M57" s="88"/>
      <x:c r="N57" s="88"/>
      <x:c r="O57" s="88"/>
      <x:c r="P57" s="88"/>
      <x:c r="Q57" s="88"/>
      <x:c r="R57" s="88"/>
      <x:c r="S57" s="88"/>
      <x:c r="T57" s="88"/>
      <x:c r="U57" s="88"/>
      <x:c r="V57" s="88"/>
      <x:c r="W57" s="88"/>
      <x:c r="X57" s="88"/>
      <x:c r="Y57" s="88"/>
      <x:c r="Z57" s="88"/>
      <x:c r="AA57" s="117"/>
      <x:c r="AB57" s="117"/>
      <x:c r="AC57" s="117"/>
      <x:c r="AD57" s="117"/>
      <x:c r="AE57" s="117"/>
      <x:c r="AF57" s="117"/>
    </x:row>
    <x:row r="58">
      <x:c r="A58" s="88"/>
      <x:c r="B58" s="88"/>
      <x:c r="C58" s="88"/>
      <x:c r="D58" s="88"/>
      <x:c r="E58" s="88"/>
      <x:c r="F58" s="88"/>
      <x:c r="G58" s="88"/>
      <x:c r="H58" s="88"/>
      <x:c r="I58" s="88"/>
      <x:c r="J58" s="88"/>
      <x:c r="K58" s="88"/>
      <x:c r="L58" s="88"/>
      <x:c r="M58" s="88"/>
      <x:c r="N58" s="88"/>
      <x:c r="O58" s="88"/>
      <x:c r="P58" s="88"/>
      <x:c r="Q58" s="88"/>
      <x:c r="R58" s="88"/>
      <x:c r="S58" s="88"/>
      <x:c r="T58" s="88"/>
      <x:c r="U58" s="88"/>
      <x:c r="V58" s="88"/>
      <x:c r="W58" s="88"/>
      <x:c r="X58" s="88"/>
      <x:c r="Y58" s="88"/>
      <x:c r="Z58" s="88"/>
      <x:c r="AA58" s="117"/>
      <x:c r="AB58" s="117"/>
      <x:c r="AC58" s="117"/>
      <x:c r="AD58" s="117"/>
      <x:c r="AE58" s="117"/>
      <x:c r="AF58" s="117"/>
    </x:row>
    <x:row r="59">
      <x:c r="A59" s="88"/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  <x:c r="L59" s="88"/>
      <x:c r="M59" s="88"/>
      <x:c r="N59" s="88"/>
      <x:c r="O59" s="88"/>
      <x:c r="P59" s="88"/>
      <x:c r="Q59" s="88"/>
      <x:c r="R59" s="88"/>
      <x:c r="S59" s="88"/>
      <x:c r="T59" s="88"/>
      <x:c r="U59" s="88"/>
      <x:c r="V59" s="88"/>
      <x:c r="W59" s="88"/>
      <x:c r="X59" s="88"/>
      <x:c r="Y59" s="88"/>
      <x:c r="Z59" s="88"/>
      <x:c r="AA59" s="117"/>
      <x:c r="AB59" s="117"/>
      <x:c r="AC59" s="117"/>
      <x:c r="AD59" s="117"/>
      <x:c r="AE59" s="117"/>
      <x:c r="AF59" s="117"/>
    </x:row>
    <x:row r="60">
      <x:c r="A60" s="88"/>
      <x:c r="B60" s="88"/>
      <x:c r="C60" s="88"/>
      <x:c r="D60" s="88"/>
      <x:c r="E60" s="88"/>
      <x:c r="F60" s="88"/>
      <x:c r="G60" s="88"/>
      <x:c r="H60" s="88"/>
      <x:c r="I60" s="88"/>
      <x:c r="J60" s="88"/>
      <x:c r="K60" s="88"/>
      <x:c r="L60" s="88"/>
      <x:c r="M60" s="88"/>
      <x:c r="N60" s="88"/>
      <x:c r="O60" s="88"/>
      <x:c r="P60" s="88"/>
      <x:c r="Q60" s="88"/>
      <x:c r="R60" s="88"/>
      <x:c r="S60" s="88"/>
      <x:c r="T60" s="88"/>
      <x:c r="U60" s="88"/>
      <x:c r="V60" s="88"/>
      <x:c r="W60" s="88"/>
      <x:c r="X60" s="88"/>
      <x:c r="Y60" s="88"/>
      <x:c r="Z60" s="88"/>
      <x:c r="AA60" s="117"/>
      <x:c r="AB60" s="117"/>
      <x:c r="AC60" s="117"/>
      <x:c r="AD60" s="117"/>
      <x:c r="AE60" s="117"/>
      <x:c r="AF60" s="117"/>
    </x:row>
    <x:row r="61">
      <x:c r="A61" s="88"/>
      <x:c r="B61" s="88"/>
      <x:c r="C61" s="88"/>
      <x:c r="D61" s="88"/>
      <x:c r="E61" s="88"/>
      <x:c r="F61" s="88"/>
      <x:c r="G61" s="88"/>
      <x:c r="H61" s="88"/>
      <x:c r="I61" s="88"/>
      <x:c r="J61" s="88"/>
      <x:c r="K61" s="88"/>
      <x:c r="L61" s="88"/>
      <x:c r="M61" s="88"/>
      <x:c r="N61" s="88"/>
      <x:c r="O61" s="88"/>
      <x:c r="P61" s="88"/>
      <x:c r="Q61" s="88"/>
      <x:c r="R61" s="88"/>
      <x:c r="S61" s="88"/>
      <x:c r="T61" s="88"/>
      <x:c r="U61" s="88"/>
      <x:c r="V61" s="88"/>
      <x:c r="W61" s="88"/>
      <x:c r="X61" s="88"/>
      <x:c r="Y61" s="88"/>
      <x:c r="Z61" s="88"/>
      <x:c r="AA61" s="117"/>
      <x:c r="AB61" s="117"/>
      <x:c r="AC61" s="117"/>
      <x:c r="AD61" s="117"/>
      <x:c r="AE61" s="117"/>
      <x:c r="AF61" s="117"/>
    </x:row>
    <x:row r="62">
      <x:c r="A62" s="88"/>
      <x:c r="B62" s="88"/>
      <x:c r="C62" s="88"/>
      <x:c r="D62" s="88"/>
      <x:c r="E62" s="88"/>
      <x:c r="F62" s="88"/>
      <x:c r="G62" s="88"/>
      <x:c r="H62" s="88"/>
      <x:c r="I62" s="88"/>
      <x:c r="J62" s="88"/>
      <x:c r="K62" s="88"/>
      <x:c r="L62" s="88"/>
      <x:c r="M62" s="88"/>
      <x:c r="N62" s="88"/>
      <x:c r="O62" s="88"/>
      <x:c r="P62" s="88"/>
      <x:c r="Q62" s="88"/>
      <x:c r="R62" s="88"/>
      <x:c r="S62" s="88"/>
      <x:c r="T62" s="88"/>
      <x:c r="U62" s="88"/>
      <x:c r="V62" s="88"/>
      <x:c r="W62" s="88"/>
      <x:c r="X62" s="88"/>
      <x:c r="Y62" s="88"/>
      <x:c r="Z62" s="88"/>
      <x:c r="AA62" s="117"/>
      <x:c r="AB62" s="117"/>
      <x:c r="AC62" s="117"/>
      <x:c r="AD62" s="117"/>
      <x:c r="AE62" s="117"/>
      <x:c r="AF62" s="117"/>
    </x:row>
    <x:row r="63">
      <x:c r="A63" s="88"/>
      <x:c r="B63" s="88"/>
      <x:c r="C63" s="88"/>
      <x:c r="D63" s="88"/>
      <x:c r="E63" s="88"/>
      <x:c r="F63" s="88"/>
      <x:c r="G63" s="88"/>
      <x:c r="H63" s="88"/>
      <x:c r="I63" s="88"/>
      <x:c r="J63" s="88"/>
      <x:c r="K63" s="88"/>
      <x:c r="L63" s="88"/>
      <x:c r="M63" s="88"/>
      <x:c r="N63" s="88"/>
      <x:c r="O63" s="88"/>
      <x:c r="P63" s="88"/>
      <x:c r="Q63" s="88"/>
      <x:c r="R63" s="88"/>
      <x:c r="S63" s="88"/>
      <x:c r="T63" s="88"/>
      <x:c r="U63" s="88"/>
      <x:c r="V63" s="88"/>
      <x:c r="W63" s="88"/>
      <x:c r="X63" s="88"/>
      <x:c r="Y63" s="88"/>
      <x:c r="Z63" s="88"/>
      <x:c r="AA63" s="117"/>
      <x:c r="AB63" s="117"/>
      <x:c r="AC63" s="117"/>
      <x:c r="AD63" s="117"/>
      <x:c r="AE63" s="117"/>
      <x:c r="AF63" s="117"/>
    </x:row>
    <x:row r="64">
      <x:c r="A64" s="88"/>
      <x:c r="B64" s="88"/>
      <x:c r="C64" s="88"/>
      <x:c r="D64" s="88"/>
      <x:c r="E64" s="88"/>
      <x:c r="F64" s="88"/>
      <x:c r="G64" s="88"/>
      <x:c r="H64" s="88"/>
      <x:c r="I64" s="88"/>
      <x:c r="J64" s="88"/>
      <x:c r="K64" s="88"/>
      <x:c r="L64" s="88"/>
      <x:c r="M64" s="88"/>
      <x:c r="N64" s="88"/>
      <x:c r="O64" s="88"/>
      <x:c r="P64" s="88"/>
      <x:c r="Q64" s="88"/>
      <x:c r="R64" s="88"/>
      <x:c r="S64" s="88"/>
      <x:c r="T64" s="88"/>
      <x:c r="U64" s="88"/>
      <x:c r="V64" s="88"/>
      <x:c r="W64" s="88"/>
      <x:c r="X64" s="88"/>
      <x:c r="Y64" s="88"/>
      <x:c r="Z64" s="88"/>
      <x:c r="AA64" s="117"/>
      <x:c r="AB64" s="117"/>
      <x:c r="AC64" s="117"/>
      <x:c r="AD64" s="117"/>
      <x:c r="AE64" s="117"/>
      <x:c r="AF64" s="117"/>
    </x:row>
    <x:row r="65">
      <x:c r="A65" s="88"/>
      <x:c r="B65" s="88"/>
      <x:c r="C65" s="88"/>
      <x:c r="D65" s="88"/>
      <x:c r="E65" s="88"/>
      <x:c r="F65" s="88"/>
      <x:c r="G65" s="88"/>
      <x:c r="H65" s="88"/>
      <x:c r="I65" s="88"/>
      <x:c r="J65" s="88"/>
      <x:c r="K65" s="88"/>
      <x:c r="L65" s="88"/>
      <x:c r="M65" s="88"/>
      <x:c r="N65" s="88"/>
      <x:c r="O65" s="88"/>
      <x:c r="P65" s="88"/>
      <x:c r="Q65" s="88"/>
      <x:c r="R65" s="88"/>
      <x:c r="S65" s="88"/>
      <x:c r="T65" s="88"/>
      <x:c r="U65" s="88"/>
      <x:c r="V65" s="88"/>
      <x:c r="W65" s="88"/>
      <x:c r="X65" s="88"/>
      <x:c r="Y65" s="88"/>
      <x:c r="Z65" s="88"/>
      <x:c r="AA65" s="117"/>
      <x:c r="AB65" s="117"/>
      <x:c r="AC65" s="117"/>
      <x:c r="AD65" s="117"/>
      <x:c r="AE65" s="117"/>
      <x:c r="AF65" s="117"/>
    </x:row>
    <x:row r="66">
      <x:c r="A66" s="88"/>
      <x:c r="B66" s="88"/>
      <x:c r="C66" s="88"/>
      <x:c r="D66" s="88"/>
      <x:c r="E66" s="88"/>
      <x:c r="F66" s="88"/>
      <x:c r="G66" s="88"/>
      <x:c r="H66" s="88"/>
      <x:c r="I66" s="88"/>
      <x:c r="J66" s="88"/>
      <x:c r="K66" s="88"/>
      <x:c r="L66" s="88"/>
      <x:c r="M66" s="88"/>
      <x:c r="N66" s="88"/>
      <x:c r="O66" s="88"/>
      <x:c r="P66" s="88"/>
      <x:c r="Q66" s="88"/>
      <x:c r="R66" s="88"/>
      <x:c r="S66" s="88"/>
      <x:c r="T66" s="88"/>
      <x:c r="U66" s="88"/>
      <x:c r="V66" s="88"/>
      <x:c r="W66" s="88"/>
      <x:c r="X66" s="88"/>
      <x:c r="Y66" s="88"/>
      <x:c r="Z66" s="88"/>
      <x:c r="AA66" s="117"/>
      <x:c r="AB66" s="117"/>
      <x:c r="AC66" s="117"/>
      <x:c r="AD66" s="117"/>
      <x:c r="AE66" s="117"/>
      <x:c r="AF66" s="117"/>
    </x:row>
    <x:row r="67">
      <x:c r="A67" s="88"/>
      <x:c r="B67" s="88"/>
      <x:c r="C67" s="88"/>
      <x:c r="D67" s="88"/>
      <x:c r="E67" s="88"/>
      <x:c r="F67" s="88"/>
      <x:c r="G67" s="88"/>
      <x:c r="H67" s="88"/>
      <x:c r="I67" s="88"/>
      <x:c r="J67" s="88"/>
      <x:c r="K67" s="88"/>
      <x:c r="L67" s="88"/>
      <x:c r="M67" s="88"/>
      <x:c r="N67" s="88"/>
      <x:c r="O67" s="88"/>
      <x:c r="P67" s="88"/>
      <x:c r="Q67" s="88"/>
      <x:c r="R67" s="88"/>
      <x:c r="S67" s="88"/>
      <x:c r="T67" s="88"/>
      <x:c r="U67" s="88"/>
      <x:c r="V67" s="88"/>
      <x:c r="W67" s="88"/>
      <x:c r="X67" s="88"/>
      <x:c r="Y67" s="88"/>
      <x:c r="Z67" s="88"/>
      <x:c r="AA67" s="117"/>
      <x:c r="AB67" s="117"/>
      <x:c r="AC67" s="117"/>
      <x:c r="AD67" s="117"/>
      <x:c r="AE67" s="117"/>
      <x:c r="AF67" s="117"/>
    </x:row>
    <x:row r="68">
      <x:c r="A68" s="88"/>
      <x:c r="B68" s="88"/>
      <x:c r="C68" s="88"/>
      <x:c r="D68" s="88"/>
      <x:c r="E68" s="88"/>
      <x:c r="F68" s="88"/>
      <x:c r="G68" s="88"/>
      <x:c r="H68" s="88"/>
      <x:c r="I68" s="88"/>
      <x:c r="J68" s="88"/>
      <x:c r="K68" s="88"/>
      <x:c r="L68" s="88"/>
      <x:c r="M68" s="88"/>
      <x:c r="N68" s="88"/>
      <x:c r="O68" s="88"/>
      <x:c r="P68" s="88"/>
      <x:c r="Q68" s="88"/>
      <x:c r="R68" s="88"/>
      <x:c r="S68" s="88"/>
      <x:c r="T68" s="88"/>
      <x:c r="U68" s="88"/>
      <x:c r="V68" s="88"/>
      <x:c r="W68" s="88"/>
      <x:c r="X68" s="88"/>
      <x:c r="Y68" s="88"/>
      <x:c r="Z68" s="88"/>
      <x:c r="AA68" s="117"/>
      <x:c r="AB68" s="117"/>
      <x:c r="AC68" s="117"/>
      <x:c r="AD68" s="117"/>
      <x:c r="AE68" s="117"/>
      <x:c r="AF68" s="117"/>
    </x:row>
    <x:row r="69">
      <x:c r="A69" s="88"/>
      <x:c r="B69" s="88"/>
      <x:c r="C69" s="88"/>
      <x:c r="D69" s="88"/>
      <x:c r="E69" s="88"/>
      <x:c r="F69" s="88"/>
      <x:c r="G69" s="88"/>
      <x:c r="H69" s="88"/>
      <x:c r="I69" s="88"/>
      <x:c r="J69" s="88"/>
      <x:c r="K69" s="88"/>
      <x:c r="L69" s="88"/>
      <x:c r="M69" s="88"/>
      <x:c r="N69" s="88"/>
      <x:c r="O69" s="88"/>
      <x:c r="P69" s="88"/>
      <x:c r="Q69" s="88"/>
      <x:c r="R69" s="88"/>
      <x:c r="S69" s="88"/>
      <x:c r="T69" s="88"/>
      <x:c r="U69" s="88"/>
      <x:c r="V69" s="88"/>
      <x:c r="W69" s="88"/>
      <x:c r="X69" s="88"/>
      <x:c r="Y69" s="88"/>
      <x:c r="Z69" s="88"/>
      <x:c r="AA69" s="117"/>
      <x:c r="AB69" s="117"/>
      <x:c r="AC69" s="117"/>
      <x:c r="AD69" s="117"/>
      <x:c r="AE69" s="117"/>
      <x:c r="AF69" s="117"/>
    </x:row>
    <x:row r="70">
      <x:c r="A70" s="88"/>
      <x:c r="B70" s="88"/>
      <x:c r="C70" s="88"/>
      <x:c r="D70" s="88"/>
      <x:c r="E70" s="88"/>
      <x:c r="F70" s="88"/>
      <x:c r="G70" s="88"/>
      <x:c r="H70" s="88"/>
      <x:c r="I70" s="88"/>
      <x:c r="J70" s="88"/>
      <x:c r="K70" s="88"/>
      <x:c r="L70" s="88"/>
      <x:c r="M70" s="88"/>
      <x:c r="N70" s="88"/>
      <x:c r="O70" s="88"/>
      <x:c r="P70" s="88"/>
      <x:c r="Q70" s="88"/>
      <x:c r="R70" s="88"/>
      <x:c r="S70" s="88"/>
      <x:c r="T70" s="88"/>
      <x:c r="U70" s="88"/>
      <x:c r="V70" s="88"/>
      <x:c r="W70" s="88"/>
      <x:c r="X70" s="88"/>
      <x:c r="Y70" s="88"/>
      <x:c r="Z70" s="88"/>
      <x:c r="AA70" s="117"/>
      <x:c r="AB70" s="117"/>
      <x:c r="AC70" s="117"/>
      <x:c r="AD70" s="117"/>
      <x:c r="AE70" s="117"/>
      <x:c r="AF70" s="117"/>
    </x:row>
    <x:row r="71">
      <x:c r="A71" s="88"/>
      <x:c r="B71" s="88"/>
      <x:c r="C71" s="88"/>
      <x:c r="D71" s="88"/>
      <x:c r="E71" s="88"/>
      <x:c r="F71" s="88"/>
      <x:c r="G71" s="88"/>
      <x:c r="H71" s="88"/>
      <x:c r="I71" s="88"/>
      <x:c r="J71" s="88"/>
      <x:c r="K71" s="88"/>
      <x:c r="L71" s="88"/>
      <x:c r="M71" s="88"/>
      <x:c r="N71" s="88"/>
      <x:c r="O71" s="88"/>
      <x:c r="P71" s="88"/>
      <x:c r="Q71" s="88"/>
      <x:c r="R71" s="88"/>
      <x:c r="S71" s="88"/>
      <x:c r="T71" s="88"/>
      <x:c r="U71" s="88"/>
      <x:c r="V71" s="88"/>
      <x:c r="W71" s="88"/>
      <x:c r="X71" s="88"/>
      <x:c r="Y71" s="88"/>
      <x:c r="Z71" s="88"/>
      <x:c r="AA71" s="117"/>
      <x:c r="AB71" s="117"/>
      <x:c r="AC71" s="117"/>
      <x:c r="AD71" s="117"/>
      <x:c r="AE71" s="117"/>
      <x:c r="AF71" s="117"/>
    </x:row>
    <x:row r="72">
      <x:c r="A72" s="88"/>
      <x:c r="B72" s="88"/>
      <x:c r="C72" s="88"/>
      <x:c r="D72" s="88"/>
      <x:c r="E72" s="88"/>
      <x:c r="F72" s="88"/>
      <x:c r="G72" s="88"/>
      <x:c r="H72" s="88"/>
      <x:c r="I72" s="88"/>
      <x:c r="J72" s="88"/>
      <x:c r="K72" s="88"/>
      <x:c r="L72" s="88"/>
      <x:c r="M72" s="88"/>
      <x:c r="N72" s="88"/>
      <x:c r="O72" s="88"/>
      <x:c r="P72" s="88"/>
      <x:c r="Q72" s="88"/>
      <x:c r="R72" s="88"/>
      <x:c r="S72" s="88"/>
      <x:c r="T72" s="88"/>
      <x:c r="U72" s="88"/>
      <x:c r="V72" s="88"/>
      <x:c r="W72" s="88"/>
      <x:c r="X72" s="88"/>
      <x:c r="Y72" s="88"/>
      <x:c r="Z72" s="88"/>
      <x:c r="AA72" s="117"/>
      <x:c r="AB72" s="117"/>
      <x:c r="AC72" s="117"/>
      <x:c r="AD72" s="117"/>
      <x:c r="AE72" s="117"/>
      <x:c r="AF72" s="117"/>
    </x:row>
    <x:row r="73">
      <x:c r="A73" s="88"/>
      <x:c r="B73" s="88"/>
      <x:c r="C73" s="88"/>
      <x:c r="D73" s="88"/>
      <x:c r="E73" s="88"/>
      <x:c r="F73" s="88"/>
      <x:c r="G73" s="88"/>
      <x:c r="H73" s="88"/>
      <x:c r="I73" s="88"/>
      <x:c r="J73" s="88"/>
      <x:c r="K73" s="88"/>
      <x:c r="L73" s="88"/>
      <x:c r="M73" s="88"/>
      <x:c r="N73" s="88"/>
      <x:c r="O73" s="88"/>
      <x:c r="P73" s="88"/>
      <x:c r="Q73" s="88"/>
      <x:c r="R73" s="88"/>
      <x:c r="S73" s="88"/>
      <x:c r="T73" s="88"/>
      <x:c r="U73" s="88"/>
      <x:c r="V73" s="88"/>
      <x:c r="W73" s="88"/>
      <x:c r="X73" s="88"/>
      <x:c r="Y73" s="88"/>
      <x:c r="Z73" s="88"/>
      <x:c r="AA73" s="117"/>
      <x:c r="AB73" s="117"/>
      <x:c r="AC73" s="117"/>
      <x:c r="AD73" s="117"/>
      <x:c r="AE73" s="117"/>
      <x:c r="AF73" s="117"/>
    </x:row>
    <x:row r="74">
      <x:c r="A74" s="88"/>
      <x:c r="B74" s="88"/>
      <x:c r="C74" s="88"/>
      <x:c r="D74" s="88"/>
      <x:c r="E74" s="88"/>
      <x:c r="F74" s="88"/>
      <x:c r="G74" s="88"/>
      <x:c r="H74" s="88"/>
      <x:c r="I74" s="88"/>
      <x:c r="J74" s="88"/>
      <x:c r="K74" s="88"/>
      <x:c r="L74" s="88"/>
      <x:c r="M74" s="88"/>
      <x:c r="N74" s="88"/>
      <x:c r="O74" s="88"/>
      <x:c r="P74" s="88"/>
      <x:c r="Q74" s="88"/>
      <x:c r="R74" s="88"/>
      <x:c r="S74" s="88"/>
      <x:c r="T74" s="88"/>
      <x:c r="U74" s="88"/>
      <x:c r="V74" s="88"/>
      <x:c r="W74" s="88"/>
      <x:c r="X74" s="88"/>
      <x:c r="Y74" s="88"/>
      <x:c r="Z74" s="88"/>
      <x:c r="AA74" s="117"/>
      <x:c r="AB74" s="117"/>
      <x:c r="AC74" s="117"/>
      <x:c r="AD74" s="117"/>
      <x:c r="AE74" s="117"/>
      <x:c r="AF74" s="117"/>
    </x:row>
    <x:row r="75">
      <x:c r="A75" s="88"/>
      <x:c r="B75" s="88"/>
      <x:c r="C75" s="88"/>
      <x:c r="D75" s="88"/>
      <x:c r="E75" s="88"/>
      <x:c r="F75" s="88"/>
      <x:c r="G75" s="88"/>
      <x:c r="H75" s="88"/>
      <x:c r="I75" s="88"/>
      <x:c r="J75" s="88"/>
      <x:c r="K75" s="88"/>
      <x:c r="L75" s="88"/>
      <x:c r="M75" s="88"/>
      <x:c r="N75" s="88"/>
      <x:c r="O75" s="88"/>
      <x:c r="P75" s="88"/>
      <x:c r="Q75" s="88"/>
      <x:c r="R75" s="88"/>
      <x:c r="S75" s="88"/>
      <x:c r="T75" s="88"/>
      <x:c r="U75" s="88"/>
      <x:c r="V75" s="88"/>
      <x:c r="W75" s="88"/>
      <x:c r="X75" s="88"/>
      <x:c r="Y75" s="88"/>
      <x:c r="Z75" s="88"/>
      <x:c r="AA75" s="117"/>
      <x:c r="AB75" s="117"/>
      <x:c r="AC75" s="117"/>
      <x:c r="AD75" s="117"/>
      <x:c r="AE75" s="117"/>
      <x:c r="AF75" s="117"/>
    </x:row>
    <x:row r="76">
      <x:c r="A76" s="88"/>
      <x:c r="B76" s="88"/>
      <x:c r="C76" s="88"/>
      <x:c r="D76" s="88"/>
      <x:c r="E76" s="88"/>
      <x:c r="F76" s="88"/>
      <x:c r="G76" s="88"/>
      <x:c r="H76" s="88"/>
      <x:c r="I76" s="88"/>
      <x:c r="J76" s="88"/>
      <x:c r="K76" s="88"/>
      <x:c r="L76" s="88"/>
      <x:c r="M76" s="88"/>
      <x:c r="N76" s="88"/>
      <x:c r="O76" s="88"/>
      <x:c r="P76" s="88"/>
      <x:c r="Q76" s="88"/>
      <x:c r="R76" s="88"/>
      <x:c r="S76" s="88"/>
      <x:c r="T76" s="88"/>
      <x:c r="U76" s="88"/>
      <x:c r="V76" s="88"/>
      <x:c r="W76" s="88"/>
      <x:c r="X76" s="88"/>
      <x:c r="Y76" s="88"/>
      <x:c r="Z76" s="88"/>
      <x:c r="AA76" s="117"/>
      <x:c r="AB76" s="117"/>
      <x:c r="AC76" s="117"/>
      <x:c r="AD76" s="117"/>
      <x:c r="AE76" s="117"/>
      <x:c r="AF76" s="117"/>
    </x:row>
    <x:row r="77">
      <x:c r="A77" s="88"/>
      <x:c r="B77" s="88"/>
      <x:c r="C77" s="88"/>
      <x:c r="D77" s="88"/>
      <x:c r="E77" s="88"/>
      <x:c r="F77" s="88"/>
      <x:c r="G77" s="88"/>
      <x:c r="H77" s="88"/>
      <x:c r="I77" s="88"/>
      <x:c r="J77" s="88"/>
      <x:c r="K77" s="88"/>
      <x:c r="L77" s="88"/>
      <x:c r="M77" s="88"/>
      <x:c r="N77" s="88"/>
      <x:c r="O77" s="88"/>
      <x:c r="P77" s="88"/>
      <x:c r="Q77" s="88"/>
      <x:c r="R77" s="88"/>
      <x:c r="S77" s="88"/>
      <x:c r="T77" s="88"/>
      <x:c r="U77" s="88"/>
      <x:c r="V77" s="88"/>
      <x:c r="W77" s="88"/>
      <x:c r="X77" s="88"/>
      <x:c r="Y77" s="88"/>
      <x:c r="Z77" s="88"/>
      <x:c r="AA77" s="117"/>
      <x:c r="AB77" s="117"/>
      <x:c r="AC77" s="117"/>
      <x:c r="AD77" s="117"/>
      <x:c r="AE77" s="117"/>
      <x:c r="AF77" s="117"/>
    </x:row>
    <x:row r="78">
      <x:c r="A78" s="88"/>
      <x:c r="B78" s="88"/>
      <x:c r="C78" s="88"/>
      <x:c r="D78" s="88"/>
      <x:c r="E78" s="88"/>
      <x:c r="F78" s="88"/>
      <x:c r="G78" s="88"/>
      <x:c r="H78" s="88"/>
      <x:c r="I78" s="88"/>
      <x:c r="J78" s="88"/>
      <x:c r="K78" s="88"/>
      <x:c r="L78" s="88"/>
      <x:c r="M78" s="88"/>
      <x:c r="N78" s="88"/>
      <x:c r="O78" s="88"/>
      <x:c r="P78" s="88"/>
      <x:c r="Q78" s="88"/>
      <x:c r="R78" s="88"/>
      <x:c r="S78" s="88"/>
      <x:c r="T78" s="88"/>
      <x:c r="U78" s="88"/>
      <x:c r="V78" s="88"/>
      <x:c r="W78" s="88"/>
      <x:c r="X78" s="88"/>
      <x:c r="Y78" s="88"/>
      <x:c r="Z78" s="88"/>
      <x:c r="AA78" s="117"/>
      <x:c r="AB78" s="117"/>
      <x:c r="AC78" s="117"/>
      <x:c r="AD78" s="117"/>
      <x:c r="AE78" s="117"/>
      <x:c r="AF78" s="117"/>
    </x:row>
    <x:row r="79">
      <x:c r="A79" s="88"/>
      <x:c r="B79" s="88"/>
      <x:c r="C79" s="88"/>
      <x:c r="D79" s="88"/>
      <x:c r="E79" s="88"/>
      <x:c r="F79" s="88"/>
      <x:c r="G79" s="88"/>
      <x:c r="H79" s="88"/>
      <x:c r="I79" s="88"/>
      <x:c r="J79" s="88"/>
      <x:c r="K79" s="88"/>
      <x:c r="L79" s="88"/>
      <x:c r="M79" s="88"/>
      <x:c r="N79" s="88"/>
      <x:c r="O79" s="88"/>
      <x:c r="P79" s="88"/>
      <x:c r="Q79" s="88"/>
      <x:c r="R79" s="88"/>
      <x:c r="S79" s="88"/>
      <x:c r="T79" s="88"/>
      <x:c r="U79" s="88"/>
      <x:c r="V79" s="88"/>
      <x:c r="W79" s="88"/>
      <x:c r="X79" s="88"/>
      <x:c r="Y79" s="88"/>
      <x:c r="Z79" s="88"/>
      <x:c r="AA79" s="117"/>
      <x:c r="AB79" s="117"/>
      <x:c r="AC79" s="117"/>
      <x:c r="AD79" s="117"/>
      <x:c r="AE79" s="117"/>
      <x:c r="AF79" s="117"/>
    </x:row>
    <x:row r="80">
      <x:c r="A80" s="88"/>
      <x:c r="B80" s="88"/>
      <x:c r="C80" s="88"/>
      <x:c r="D80" s="88"/>
      <x:c r="E80" s="88"/>
      <x:c r="F80" s="88"/>
      <x:c r="G80" s="88"/>
      <x:c r="H80" s="88"/>
      <x:c r="I80" s="88"/>
      <x:c r="J80" s="88"/>
      <x:c r="K80" s="88"/>
      <x:c r="L80" s="88"/>
      <x:c r="M80" s="88"/>
      <x:c r="N80" s="88"/>
      <x:c r="O80" s="88"/>
      <x:c r="P80" s="88"/>
      <x:c r="Q80" s="88"/>
      <x:c r="R80" s="88"/>
      <x:c r="S80" s="88"/>
      <x:c r="T80" s="88"/>
      <x:c r="U80" s="88"/>
      <x:c r="V80" s="88"/>
      <x:c r="W80" s="88"/>
      <x:c r="X80" s="88"/>
      <x:c r="Y80" s="88"/>
      <x:c r="Z80" s="88"/>
      <x:c r="AA80" s="117"/>
      <x:c r="AB80" s="117"/>
      <x:c r="AC80" s="117"/>
      <x:c r="AD80" s="117"/>
      <x:c r="AE80" s="117"/>
      <x:c r="AF80" s="117"/>
    </x:row>
    <x:row r="81">
      <x:c r="A81" s="88"/>
      <x:c r="B81" s="88"/>
      <x:c r="C81" s="88"/>
      <x:c r="D81" s="88"/>
      <x:c r="E81" s="88"/>
      <x:c r="F81" s="88"/>
      <x:c r="G81" s="88"/>
      <x:c r="H81" s="88"/>
      <x:c r="I81" s="88"/>
      <x:c r="J81" s="88"/>
      <x:c r="K81" s="88"/>
      <x:c r="L81" s="88"/>
      <x:c r="M81" s="88"/>
      <x:c r="N81" s="88"/>
      <x:c r="O81" s="88"/>
      <x:c r="P81" s="88"/>
      <x:c r="Q81" s="88"/>
      <x:c r="R81" s="88"/>
      <x:c r="S81" s="88"/>
      <x:c r="T81" s="88"/>
      <x:c r="U81" s="88"/>
      <x:c r="V81" s="88"/>
      <x:c r="W81" s="88"/>
      <x:c r="X81" s="88"/>
      <x:c r="Y81" s="88"/>
      <x:c r="Z81" s="88"/>
      <x:c r="AA81" s="117"/>
      <x:c r="AB81" s="117"/>
      <x:c r="AC81" s="117"/>
      <x:c r="AD81" s="117"/>
      <x:c r="AE81" s="117"/>
      <x:c r="AF81" s="117"/>
    </x:row>
    <x:row r="82">
      <x:c r="A82" s="88"/>
      <x:c r="B82" s="88"/>
      <x:c r="C82" s="88"/>
      <x:c r="D82" s="88"/>
      <x:c r="E82" s="88"/>
      <x:c r="F82" s="88"/>
      <x:c r="G82" s="88"/>
      <x:c r="H82" s="88"/>
      <x:c r="I82" s="88"/>
      <x:c r="J82" s="88"/>
      <x:c r="K82" s="88"/>
      <x:c r="L82" s="88"/>
      <x:c r="M82" s="88"/>
      <x:c r="N82" s="88"/>
      <x:c r="O82" s="88"/>
      <x:c r="P82" s="88"/>
      <x:c r="Q82" s="88"/>
      <x:c r="R82" s="88"/>
      <x:c r="S82" s="88"/>
      <x:c r="T82" s="88"/>
      <x:c r="U82" s="88"/>
      <x:c r="V82" s="88"/>
      <x:c r="W82" s="88"/>
      <x:c r="X82" s="88"/>
      <x:c r="Y82" s="88"/>
      <x:c r="Z82" s="88"/>
      <x:c r="AA82" s="117"/>
      <x:c r="AB82" s="117"/>
      <x:c r="AC82" s="117"/>
      <x:c r="AD82" s="117"/>
      <x:c r="AE82" s="117"/>
      <x:c r="AF82" s="117"/>
    </x:row>
    <x:row r="83">
      <x:c r="A83" s="88"/>
      <x:c r="B83" s="88"/>
      <x:c r="C83" s="88"/>
      <x:c r="D83" s="88"/>
      <x:c r="E83" s="88"/>
      <x:c r="F83" s="88"/>
      <x:c r="G83" s="88"/>
      <x:c r="H83" s="88"/>
      <x:c r="I83" s="88"/>
      <x:c r="J83" s="88"/>
      <x:c r="K83" s="88"/>
      <x:c r="L83" s="88"/>
      <x:c r="M83" s="88"/>
      <x:c r="N83" s="88"/>
      <x:c r="O83" s="88"/>
      <x:c r="P83" s="88"/>
      <x:c r="Q83" s="88"/>
      <x:c r="R83" s="88"/>
      <x:c r="S83" s="88"/>
      <x:c r="T83" s="88"/>
      <x:c r="U83" s="88"/>
      <x:c r="V83" s="88"/>
      <x:c r="W83" s="88"/>
      <x:c r="X83" s="88"/>
      <x:c r="Y83" s="88"/>
      <x:c r="Z83" s="88"/>
      <x:c r="AA83" s="117"/>
      <x:c r="AB83" s="117"/>
      <x:c r="AC83" s="117"/>
      <x:c r="AD83" s="117"/>
      <x:c r="AE83" s="117"/>
      <x:c r="AF83" s="117"/>
    </x:row>
    <x:row r="84">
      <x:c r="A84" s="88"/>
      <x:c r="B84" s="88"/>
      <x:c r="C84" s="88"/>
      <x:c r="D84" s="88"/>
      <x:c r="E84" s="88"/>
      <x:c r="F84" s="88"/>
      <x:c r="G84" s="88"/>
      <x:c r="H84" s="88"/>
      <x:c r="I84" s="88"/>
      <x:c r="J84" s="88"/>
      <x:c r="K84" s="88"/>
      <x:c r="L84" s="88"/>
      <x:c r="M84" s="88"/>
      <x:c r="N84" s="88"/>
      <x:c r="O84" s="88"/>
      <x:c r="P84" s="88"/>
      <x:c r="Q84" s="88"/>
      <x:c r="R84" s="88"/>
      <x:c r="S84" s="88"/>
      <x:c r="T84" s="88"/>
      <x:c r="U84" s="88"/>
      <x:c r="V84" s="88"/>
      <x:c r="W84" s="88"/>
      <x:c r="X84" s="88"/>
      <x:c r="Y84" s="88"/>
      <x:c r="Z84" s="88"/>
      <x:c r="AA84" s="117"/>
      <x:c r="AB84" s="117"/>
      <x:c r="AC84" s="117"/>
      <x:c r="AD84" s="117"/>
      <x:c r="AE84" s="117"/>
      <x:c r="AF84" s="117"/>
    </x:row>
    <x:row r="85">
      <x:c r="A85" s="88"/>
      <x:c r="B85" s="88"/>
      <x:c r="C85" s="88"/>
      <x:c r="D85" s="88"/>
      <x:c r="E85" s="88"/>
      <x:c r="F85" s="88"/>
      <x:c r="G85" s="88"/>
      <x:c r="H85" s="88"/>
      <x:c r="I85" s="88"/>
      <x:c r="J85" s="88"/>
      <x:c r="K85" s="88"/>
      <x:c r="L85" s="88"/>
      <x:c r="M85" s="88"/>
      <x:c r="N85" s="88"/>
      <x:c r="O85" s="88"/>
      <x:c r="P85" s="88"/>
      <x:c r="Q85" s="88"/>
      <x:c r="R85" s="88"/>
      <x:c r="S85" s="88"/>
      <x:c r="T85" s="88"/>
      <x:c r="U85" s="88"/>
      <x:c r="V85" s="88"/>
      <x:c r="W85" s="88"/>
      <x:c r="X85" s="88"/>
      <x:c r="Y85" s="88"/>
      <x:c r="Z85" s="88"/>
      <x:c r="AA85" s="117"/>
      <x:c r="AB85" s="117"/>
      <x:c r="AC85" s="117"/>
      <x:c r="AD85" s="117"/>
      <x:c r="AE85" s="117"/>
      <x:c r="AF85" s="117"/>
    </x:row>
    <x:row r="86">
      <x:c r="A86" s="88"/>
      <x:c r="B86" s="88"/>
      <x:c r="C86" s="88"/>
      <x:c r="D86" s="88"/>
      <x:c r="E86" s="88"/>
      <x:c r="F86" s="88"/>
      <x:c r="G86" s="88"/>
      <x:c r="H86" s="88"/>
      <x:c r="I86" s="88"/>
      <x:c r="J86" s="88"/>
      <x:c r="K86" s="88"/>
      <x:c r="L86" s="88"/>
      <x:c r="M86" s="88"/>
      <x:c r="N86" s="88"/>
      <x:c r="O86" s="88"/>
      <x:c r="P86" s="88"/>
      <x:c r="Q86" s="88"/>
      <x:c r="R86" s="88"/>
      <x:c r="S86" s="88"/>
      <x:c r="T86" s="88"/>
      <x:c r="U86" s="88"/>
      <x:c r="V86" s="88"/>
      <x:c r="W86" s="88"/>
      <x:c r="X86" s="88"/>
      <x:c r="Y86" s="88"/>
      <x:c r="Z86" s="88"/>
      <x:c r="AA86" s="117"/>
      <x:c r="AB86" s="117"/>
      <x:c r="AC86" s="117"/>
      <x:c r="AD86" s="117"/>
      <x:c r="AE86" s="117"/>
      <x:c r="AF86" s="117"/>
    </x:row>
    <x:row r="87">
      <x:c r="A87" s="88"/>
      <x:c r="B87" s="88"/>
      <x:c r="C87" s="88"/>
      <x:c r="D87" s="88"/>
      <x:c r="E87" s="88"/>
      <x:c r="F87" s="88"/>
      <x:c r="G87" s="88"/>
      <x:c r="H87" s="88"/>
      <x:c r="I87" s="88"/>
      <x:c r="J87" s="88"/>
      <x:c r="K87" s="88"/>
      <x:c r="L87" s="88"/>
      <x:c r="M87" s="88"/>
      <x:c r="N87" s="88"/>
      <x:c r="O87" s="88"/>
      <x:c r="P87" s="88"/>
      <x:c r="Q87" s="88"/>
      <x:c r="R87" s="88"/>
      <x:c r="S87" s="88"/>
      <x:c r="T87" s="88"/>
      <x:c r="U87" s="88"/>
      <x:c r="V87" s="88"/>
      <x:c r="W87" s="88"/>
      <x:c r="X87" s="88"/>
      <x:c r="Y87" s="88"/>
      <x:c r="Z87" s="88"/>
      <x:c r="AA87" s="117"/>
      <x:c r="AB87" s="117"/>
      <x:c r="AC87" s="117"/>
      <x:c r="AD87" s="117"/>
      <x:c r="AE87" s="117"/>
      <x:c r="AF87" s="117"/>
    </x:row>
    <x:row r="88">
      <x:c r="A88" s="88"/>
      <x:c r="B88" s="88"/>
      <x:c r="C88" s="88"/>
      <x:c r="D88" s="88"/>
      <x:c r="E88" s="88"/>
      <x:c r="F88" s="88"/>
      <x:c r="G88" s="88"/>
      <x:c r="H88" s="88"/>
      <x:c r="I88" s="88"/>
      <x:c r="J88" s="88"/>
      <x:c r="K88" s="88"/>
      <x:c r="L88" s="88"/>
      <x:c r="M88" s="88"/>
      <x:c r="N88" s="88"/>
      <x:c r="O88" s="88"/>
      <x:c r="P88" s="88"/>
      <x:c r="Q88" s="88"/>
      <x:c r="R88" s="88"/>
      <x:c r="S88" s="88"/>
      <x:c r="T88" s="88"/>
      <x:c r="U88" s="88"/>
      <x:c r="V88" s="88"/>
      <x:c r="W88" s="88"/>
      <x:c r="X88" s="88"/>
      <x:c r="Y88" s="88"/>
      <x:c r="Z88" s="88"/>
      <x:c r="AA88" s="117"/>
      <x:c r="AB88" s="117"/>
      <x:c r="AC88" s="117"/>
      <x:c r="AD88" s="117"/>
      <x:c r="AE88" s="117"/>
      <x:c r="AF88" s="117"/>
    </x:row>
    <x:row r="89">
      <x:c r="A89" s="88"/>
      <x:c r="B89" s="88"/>
      <x:c r="C89" s="88"/>
      <x:c r="D89" s="88"/>
      <x:c r="E89" s="88"/>
      <x:c r="F89" s="88"/>
      <x:c r="G89" s="88"/>
      <x:c r="H89" s="88"/>
      <x:c r="I89" s="88"/>
      <x:c r="J89" s="88"/>
      <x:c r="K89" s="88"/>
      <x:c r="L89" s="88"/>
      <x:c r="M89" s="88"/>
      <x:c r="N89" s="88"/>
      <x:c r="O89" s="88"/>
      <x:c r="P89" s="88"/>
      <x:c r="Q89" s="88"/>
      <x:c r="R89" s="88"/>
      <x:c r="S89" s="88"/>
      <x:c r="T89" s="88"/>
      <x:c r="U89" s="88"/>
      <x:c r="V89" s="88"/>
      <x:c r="W89" s="88"/>
      <x:c r="X89" s="88"/>
      <x:c r="Y89" s="88"/>
      <x:c r="Z89" s="88"/>
      <x:c r="AA89" s="117"/>
      <x:c r="AB89" s="117"/>
      <x:c r="AC89" s="117"/>
      <x:c r="AD89" s="117"/>
      <x:c r="AE89" s="117"/>
      <x:c r="AF89" s="117"/>
    </x:row>
    <x:row r="90">
      <x:c r="A90" s="88"/>
      <x:c r="B90" s="88"/>
      <x:c r="C90" s="88"/>
      <x:c r="D90" s="88"/>
      <x:c r="E90" s="88"/>
      <x:c r="F90" s="88"/>
      <x:c r="G90" s="88"/>
      <x:c r="H90" s="88"/>
      <x:c r="I90" s="88"/>
      <x:c r="J90" s="88"/>
      <x:c r="K90" s="88"/>
      <x:c r="L90" s="88"/>
      <x:c r="M90" s="88"/>
      <x:c r="N90" s="88"/>
      <x:c r="O90" s="88"/>
      <x:c r="P90" s="88"/>
      <x:c r="Q90" s="88"/>
      <x:c r="R90" s="88"/>
      <x:c r="S90" s="88"/>
      <x:c r="T90" s="88"/>
      <x:c r="U90" s="88"/>
      <x:c r="V90" s="88"/>
      <x:c r="W90" s="88"/>
      <x:c r="X90" s="88"/>
      <x:c r="Y90" s="88"/>
      <x:c r="Z90" s="88"/>
      <x:c r="AA90" s="117"/>
      <x:c r="AB90" s="117"/>
      <x:c r="AC90" s="117"/>
      <x:c r="AD90" s="117"/>
      <x:c r="AE90" s="117"/>
      <x:c r="AF90" s="117"/>
    </x:row>
    <x:row r="91">
      <x:c r="A91" s="88"/>
      <x:c r="B91" s="88"/>
      <x:c r="C91" s="88"/>
      <x:c r="D91" s="88"/>
      <x:c r="E91" s="88"/>
      <x:c r="F91" s="88"/>
      <x:c r="G91" s="88"/>
      <x:c r="H91" s="88"/>
      <x:c r="I91" s="88"/>
      <x:c r="J91" s="88"/>
      <x:c r="K91" s="88"/>
      <x:c r="L91" s="88"/>
      <x:c r="M91" s="88"/>
      <x:c r="N91" s="88"/>
      <x:c r="O91" s="88"/>
      <x:c r="P91" s="88"/>
      <x:c r="Q91" s="88"/>
      <x:c r="R91" s="88"/>
      <x:c r="S91" s="88"/>
      <x:c r="T91" s="88"/>
      <x:c r="U91" s="88"/>
      <x:c r="V91" s="88"/>
      <x:c r="W91" s="88"/>
      <x:c r="X91" s="88"/>
      <x:c r="Y91" s="88"/>
      <x:c r="Z91" s="88"/>
      <x:c r="AA91" s="117"/>
      <x:c r="AB91" s="117"/>
      <x:c r="AC91" s="117"/>
      <x:c r="AD91" s="117"/>
      <x:c r="AE91" s="117"/>
      <x:c r="AF91" s="117"/>
    </x:row>
    <x:row r="92">
      <x:c r="A92" s="88"/>
      <x:c r="B92" s="88"/>
      <x:c r="C92" s="88"/>
      <x:c r="D92" s="88"/>
      <x:c r="E92" s="88"/>
      <x:c r="F92" s="88"/>
      <x:c r="G92" s="88"/>
      <x:c r="H92" s="88"/>
      <x:c r="I92" s="88"/>
      <x:c r="J92" s="88"/>
      <x:c r="K92" s="88"/>
      <x:c r="L92" s="88"/>
      <x:c r="M92" s="88"/>
      <x:c r="N92" s="88"/>
      <x:c r="O92" s="88"/>
      <x:c r="P92" s="88"/>
      <x:c r="Q92" s="88"/>
      <x:c r="R92" s="88"/>
      <x:c r="S92" s="88"/>
      <x:c r="T92" s="88"/>
      <x:c r="U92" s="88"/>
      <x:c r="V92" s="88"/>
      <x:c r="W92" s="88"/>
      <x:c r="X92" s="88"/>
      <x:c r="Y92" s="88"/>
      <x:c r="Z92" s="88"/>
      <x:c r="AA92" s="117"/>
      <x:c r="AB92" s="117"/>
      <x:c r="AC92" s="117"/>
      <x:c r="AD92" s="117"/>
      <x:c r="AE92" s="117"/>
      <x:c r="AF92" s="117"/>
    </x:row>
    <x:row r="93">
      <x:c r="A93" s="88"/>
      <x:c r="B93" s="88"/>
      <x:c r="C93" s="88"/>
      <x:c r="D93" s="88"/>
      <x:c r="E93" s="88"/>
      <x:c r="F93" s="88"/>
      <x:c r="G93" s="88"/>
      <x:c r="H93" s="88"/>
      <x:c r="I93" s="88"/>
      <x:c r="J93" s="88"/>
      <x:c r="K93" s="88"/>
      <x:c r="L93" s="88"/>
      <x:c r="M93" s="88"/>
      <x:c r="N93" s="88"/>
      <x:c r="O93" s="88"/>
      <x:c r="P93" s="88"/>
      <x:c r="Q93" s="88"/>
      <x:c r="R93" s="88"/>
      <x:c r="S93" s="88"/>
      <x:c r="T93" s="88"/>
      <x:c r="U93" s="88"/>
      <x:c r="V93" s="88"/>
      <x:c r="W93" s="88"/>
      <x:c r="X93" s="88"/>
      <x:c r="Y93" s="88"/>
      <x:c r="Z93" s="88"/>
      <x:c r="AA93" s="117"/>
      <x:c r="AB93" s="117"/>
      <x:c r="AC93" s="117"/>
      <x:c r="AD93" s="117"/>
      <x:c r="AE93" s="117"/>
      <x:c r="AF93" s="117"/>
    </x:row>
    <x:row r="94">
      <x:c r="A94" s="88"/>
      <x:c r="B94" s="88"/>
      <x:c r="C94" s="88"/>
      <x:c r="D94" s="88"/>
      <x:c r="E94" s="88"/>
      <x:c r="F94" s="88"/>
      <x:c r="G94" s="88"/>
      <x:c r="H94" s="88"/>
      <x:c r="I94" s="88"/>
      <x:c r="J94" s="88"/>
      <x:c r="K94" s="88"/>
      <x:c r="L94" s="88"/>
      <x:c r="M94" s="88"/>
      <x:c r="N94" s="88"/>
      <x:c r="O94" s="88"/>
      <x:c r="P94" s="88"/>
      <x:c r="Q94" s="88"/>
      <x:c r="R94" s="88"/>
      <x:c r="S94" s="88"/>
      <x:c r="T94" s="88"/>
      <x:c r="U94" s="88"/>
      <x:c r="V94" s="88"/>
      <x:c r="W94" s="88"/>
      <x:c r="X94" s="88"/>
      <x:c r="Y94" s="88"/>
      <x:c r="Z94" s="88"/>
      <x:c r="AA94" s="117"/>
      <x:c r="AB94" s="117"/>
      <x:c r="AC94" s="117"/>
      <x:c r="AD94" s="117"/>
      <x:c r="AE94" s="117"/>
      <x:c r="AF94" s="117"/>
    </x:row>
    <x:row r="95">
      <x:c r="A95" s="88"/>
      <x:c r="B95" s="88"/>
      <x:c r="C95" s="88"/>
      <x:c r="D95" s="88"/>
      <x:c r="E95" s="88"/>
      <x:c r="F95" s="88"/>
      <x:c r="G95" s="88"/>
      <x:c r="H95" s="88"/>
      <x:c r="I95" s="88"/>
      <x:c r="J95" s="88"/>
      <x:c r="K95" s="88"/>
      <x:c r="L95" s="88"/>
      <x:c r="M95" s="88"/>
      <x:c r="N95" s="88"/>
      <x:c r="O95" s="88"/>
      <x:c r="P95" s="88"/>
      <x:c r="Q95" s="88"/>
      <x:c r="R95" s="88"/>
      <x:c r="S95" s="88"/>
      <x:c r="T95" s="88"/>
      <x:c r="U95" s="88"/>
      <x:c r="V95" s="88"/>
      <x:c r="W95" s="88"/>
      <x:c r="X95" s="88"/>
      <x:c r="Y95" s="88"/>
      <x:c r="Z95" s="88"/>
      <x:c r="AA95" s="117"/>
      <x:c r="AB95" s="117"/>
      <x:c r="AC95" s="117"/>
      <x:c r="AD95" s="117"/>
      <x:c r="AE95" s="117"/>
      <x:c r="AF95" s="117"/>
    </x:row>
    <x:row r="96">
      <x:c r="A96" s="88"/>
      <x:c r="B96" s="88"/>
      <x:c r="C96" s="88"/>
      <x:c r="D96" s="88"/>
      <x:c r="E96" s="88"/>
      <x:c r="F96" s="88"/>
      <x:c r="G96" s="88"/>
      <x:c r="H96" s="88"/>
      <x:c r="I96" s="88"/>
      <x:c r="J96" s="88"/>
      <x:c r="K96" s="88"/>
      <x:c r="L96" s="88"/>
      <x:c r="M96" s="88"/>
      <x:c r="N96" s="88"/>
      <x:c r="O96" s="88"/>
      <x:c r="P96" s="88"/>
      <x:c r="Q96" s="88"/>
      <x:c r="R96" s="88"/>
      <x:c r="S96" s="88"/>
      <x:c r="T96" s="88"/>
      <x:c r="U96" s="88"/>
      <x:c r="V96" s="88"/>
      <x:c r="W96" s="88"/>
      <x:c r="X96" s="88"/>
      <x:c r="Y96" s="88"/>
      <x:c r="Z96" s="88"/>
      <x:c r="AA96" s="117"/>
      <x:c r="AB96" s="117"/>
      <x:c r="AC96" s="117"/>
      <x:c r="AD96" s="117"/>
      <x:c r="AE96" s="117"/>
      <x:c r="AF96" s="117"/>
    </x:row>
    <x:row r="97">
      <x:c r="A97" s="88"/>
      <x:c r="B97" s="88"/>
      <x:c r="C97" s="88"/>
      <x:c r="D97" s="88"/>
      <x:c r="E97" s="88"/>
      <x:c r="F97" s="88"/>
      <x:c r="G97" s="88"/>
      <x:c r="H97" s="88"/>
      <x:c r="I97" s="88"/>
      <x:c r="J97" s="88"/>
      <x:c r="K97" s="88"/>
      <x:c r="L97" s="88"/>
      <x:c r="M97" s="88"/>
      <x:c r="N97" s="88"/>
      <x:c r="O97" s="88"/>
      <x:c r="P97" s="88"/>
      <x:c r="Q97" s="88"/>
      <x:c r="R97" s="88"/>
      <x:c r="S97" s="88"/>
      <x:c r="T97" s="88"/>
      <x:c r="U97" s="88"/>
      <x:c r="V97" s="88"/>
      <x:c r="W97" s="88"/>
      <x:c r="X97" s="88"/>
      <x:c r="Y97" s="88"/>
      <x:c r="Z97" s="88"/>
      <x:c r="AA97" s="117"/>
      <x:c r="AB97" s="117"/>
      <x:c r="AC97" s="117"/>
      <x:c r="AD97" s="117"/>
      <x:c r="AE97" s="117"/>
      <x:c r="AF97" s="117"/>
    </x:row>
    <x:row r="98">
      <x:c r="A98" s="88"/>
      <x:c r="B98" s="88"/>
      <x:c r="C98" s="88"/>
      <x:c r="D98" s="88"/>
      <x:c r="E98" s="88"/>
      <x:c r="F98" s="88"/>
      <x:c r="G98" s="88"/>
      <x:c r="H98" s="88"/>
      <x:c r="I98" s="88"/>
      <x:c r="J98" s="88"/>
      <x:c r="K98" s="88"/>
      <x:c r="L98" s="88"/>
      <x:c r="M98" s="88"/>
      <x:c r="N98" s="88"/>
      <x:c r="O98" s="88"/>
      <x:c r="P98" s="88"/>
      <x:c r="Q98" s="88"/>
      <x:c r="R98" s="88"/>
      <x:c r="S98" s="88"/>
      <x:c r="T98" s="88"/>
      <x:c r="U98" s="88"/>
      <x:c r="V98" s="88"/>
      <x:c r="W98" s="88"/>
      <x:c r="X98" s="88"/>
      <x:c r="Y98" s="88"/>
      <x:c r="Z98" s="88"/>
      <x:c r="AA98" s="117"/>
      <x:c r="AB98" s="117"/>
      <x:c r="AC98" s="117"/>
      <x:c r="AD98" s="117"/>
      <x:c r="AE98" s="117"/>
      <x:c r="AF98" s="117"/>
    </x:row>
    <x:row r="99">
      <x:c r="A99" s="88"/>
      <x:c r="B99" s="88"/>
      <x:c r="C99" s="88"/>
      <x:c r="D99" s="88"/>
      <x:c r="E99" s="88"/>
      <x:c r="F99" s="88"/>
      <x:c r="G99" s="88"/>
      <x:c r="H99" s="88"/>
      <x:c r="I99" s="88"/>
      <x:c r="J99" s="88"/>
      <x:c r="K99" s="88"/>
      <x:c r="L99" s="88"/>
      <x:c r="M99" s="88"/>
      <x:c r="N99" s="88"/>
      <x:c r="O99" s="88"/>
      <x:c r="P99" s="88"/>
      <x:c r="Q99" s="88"/>
      <x:c r="R99" s="88"/>
      <x:c r="S99" s="88"/>
      <x:c r="T99" s="88"/>
      <x:c r="U99" s="88"/>
      <x:c r="V99" s="88"/>
      <x:c r="W99" s="88"/>
      <x:c r="X99" s="88"/>
      <x:c r="Y99" s="88"/>
      <x:c r="Z99" s="88"/>
      <x:c r="AA99" s="117"/>
      <x:c r="AB99" s="117"/>
      <x:c r="AC99" s="117"/>
      <x:c r="AD99" s="117"/>
      <x:c r="AE99" s="117"/>
      <x:c r="AF99" s="117"/>
    </x:row>
    <x:row r="100">
      <x:c r="A100" s="88"/>
      <x:c r="B100" s="88"/>
      <x:c r="C100" s="88"/>
      <x:c r="D100" s="88"/>
      <x:c r="E100" s="88"/>
      <x:c r="F100" s="88"/>
      <x:c r="G100" s="88"/>
      <x:c r="H100" s="88"/>
      <x:c r="I100" s="88"/>
      <x:c r="J100" s="88"/>
      <x:c r="K100" s="88"/>
      <x:c r="L100" s="88"/>
      <x:c r="M100" s="88"/>
      <x:c r="N100" s="88"/>
      <x:c r="O100" s="88"/>
      <x:c r="P100" s="88"/>
      <x:c r="Q100" s="88"/>
      <x:c r="R100" s="88"/>
      <x:c r="S100" s="88"/>
      <x:c r="T100" s="88"/>
      <x:c r="U100" s="88"/>
      <x:c r="V100" s="88"/>
      <x:c r="W100" s="88"/>
      <x:c r="X100" s="88"/>
      <x:c r="Y100" s="88"/>
      <x:c r="Z100" s="88"/>
      <x:c r="AA100" s="117"/>
      <x:c r="AB100" s="117"/>
      <x:c r="AC100" s="117"/>
      <x:c r="AD100" s="117"/>
      <x:c r="AE100" s="117"/>
      <x:c r="AF100" s="117"/>
    </x:row>
  </x:sheetData>
  <x:mergeCells>
    <x:mergeCell ref="A1:AD1"/>
    <x:mergeCell ref="A3:AD3"/>
  </x:mergeCells>
  <x:pageMargins left="0.7" right="0.7" top="0.75" bottom="0.75" header="0.3" footer="0.3"/>
  <x:tableParts count="1">
    <x:tablePart xmlns:r="http://schemas.openxmlformats.org/officeDocument/2006/relationships" r:id="R325f8eed0be94759"/>
  </x:tableParts>
</x:worksheet>
</file>